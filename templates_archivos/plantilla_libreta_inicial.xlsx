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af\Documents\template_django\sistema_academico\templates_archivos\"/>
    </mc:Choice>
  </mc:AlternateContent>
  <xr:revisionPtr revIDLastSave="0" documentId="13_ncr:1_{0843C101-2812-45B0-BA88-8D922191B215}" xr6:coauthVersionLast="47" xr6:coauthVersionMax="47" xr10:uidLastSave="{00000000-0000-0000-0000-000000000000}"/>
  <bookViews>
    <workbookView xWindow="3315" yWindow="2205" windowWidth="19335" windowHeight="180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5" i="1" l="1"/>
  <c r="K55" i="1"/>
  <c r="I55" i="1"/>
  <c r="G55" i="1"/>
  <c r="M54" i="1"/>
  <c r="K54" i="1"/>
  <c r="I54" i="1"/>
  <c r="G54" i="1"/>
  <c r="M53" i="1"/>
  <c r="K53" i="1"/>
  <c r="I53" i="1"/>
  <c r="G53" i="1"/>
  <c r="M52" i="1"/>
  <c r="K52" i="1"/>
  <c r="I52" i="1"/>
  <c r="G52" i="1"/>
  <c r="M50" i="1"/>
  <c r="K50" i="1"/>
  <c r="I50" i="1"/>
  <c r="G50" i="1"/>
  <c r="L47" i="1"/>
  <c r="M47" i="1" s="1"/>
  <c r="J47" i="1"/>
  <c r="K47" i="1" s="1"/>
  <c r="H47" i="1"/>
  <c r="I47" i="1" s="1"/>
  <c r="F47" i="1"/>
  <c r="G47" i="1" s="1"/>
  <c r="L46" i="1"/>
  <c r="M46" i="1" s="1"/>
  <c r="J46" i="1"/>
  <c r="K46" i="1" s="1"/>
  <c r="H46" i="1"/>
  <c r="I46" i="1" s="1"/>
  <c r="F46" i="1"/>
  <c r="G46" i="1" s="1"/>
  <c r="L45" i="1"/>
  <c r="M45" i="1" s="1"/>
  <c r="J45" i="1"/>
  <c r="K45" i="1" s="1"/>
  <c r="H45" i="1"/>
  <c r="I45" i="1" s="1"/>
  <c r="F45" i="1"/>
  <c r="G45" i="1" s="1"/>
  <c r="L44" i="1"/>
  <c r="M44" i="1" s="1"/>
  <c r="J44" i="1"/>
  <c r="K44" i="1" s="1"/>
  <c r="H44" i="1"/>
  <c r="I44" i="1" s="1"/>
  <c r="F44" i="1"/>
  <c r="G44" i="1" s="1"/>
  <c r="L43" i="1"/>
  <c r="M43" i="1" s="1"/>
  <c r="J43" i="1"/>
  <c r="K43" i="1" s="1"/>
  <c r="H43" i="1"/>
  <c r="I43" i="1" s="1"/>
  <c r="F43" i="1"/>
  <c r="G43" i="1" s="1"/>
  <c r="L42" i="1"/>
  <c r="M42" i="1" s="1"/>
  <c r="J42" i="1"/>
  <c r="K42" i="1" s="1"/>
  <c r="H42" i="1"/>
  <c r="I42" i="1" s="1"/>
  <c r="F42" i="1"/>
  <c r="G42" i="1" s="1"/>
  <c r="L41" i="1"/>
  <c r="M41" i="1" s="1"/>
  <c r="J41" i="1"/>
  <c r="K41" i="1" s="1"/>
  <c r="H41" i="1"/>
  <c r="I41" i="1" s="1"/>
  <c r="F41" i="1"/>
  <c r="G41" i="1" s="1"/>
  <c r="M38" i="1"/>
  <c r="K38" i="1"/>
  <c r="I38" i="1"/>
  <c r="G38" i="1"/>
  <c r="M37" i="1"/>
  <c r="K37" i="1"/>
  <c r="I37" i="1"/>
  <c r="G37" i="1"/>
  <c r="M36" i="1"/>
  <c r="K36" i="1"/>
  <c r="I36" i="1"/>
  <c r="G36" i="1"/>
  <c r="M35" i="1"/>
  <c r="K35" i="1"/>
  <c r="I35" i="1"/>
  <c r="G35" i="1"/>
  <c r="M32" i="1"/>
  <c r="K32" i="1"/>
  <c r="I32" i="1"/>
  <c r="G32" i="1"/>
  <c r="M31" i="1"/>
  <c r="K31" i="1"/>
  <c r="I31" i="1"/>
  <c r="G31" i="1"/>
  <c r="N26" i="1"/>
  <c r="N24" i="1"/>
  <c r="L22" i="1"/>
  <c r="J22" i="1"/>
  <c r="K22" i="1" s="1"/>
  <c r="H22" i="1"/>
  <c r="I22" i="1" s="1"/>
  <c r="F22" i="1"/>
  <c r="G22" i="1" s="1"/>
  <c r="N21" i="1"/>
  <c r="M21" i="1"/>
  <c r="K21" i="1"/>
  <c r="I21" i="1"/>
  <c r="G21" i="1"/>
  <c r="M20" i="1"/>
  <c r="N20" i="1"/>
  <c r="K20" i="1"/>
  <c r="I20" i="1"/>
  <c r="G20" i="1"/>
  <c r="M19" i="1"/>
  <c r="K19" i="1"/>
  <c r="I19" i="1"/>
  <c r="G19" i="1"/>
  <c r="K18" i="1"/>
  <c r="I18" i="1"/>
  <c r="G18" i="1"/>
  <c r="M15" i="1"/>
  <c r="K15" i="1"/>
  <c r="I15" i="1"/>
  <c r="G15" i="1"/>
  <c r="M14" i="1"/>
  <c r="N14" i="1"/>
  <c r="K14" i="1"/>
  <c r="I14" i="1"/>
  <c r="G14" i="1"/>
  <c r="K13" i="1"/>
  <c r="I13" i="1"/>
  <c r="G13" i="1"/>
  <c r="K12" i="1"/>
  <c r="I12" i="1"/>
  <c r="G12" i="1"/>
  <c r="N11" i="1"/>
  <c r="K11" i="1"/>
  <c r="I11" i="1"/>
  <c r="G11" i="1"/>
  <c r="N12" i="1" l="1"/>
  <c r="N25" i="1"/>
  <c r="N18" i="1"/>
  <c r="N13" i="1"/>
  <c r="N22" i="1"/>
  <c r="M11" i="1"/>
  <c r="M13" i="1"/>
  <c r="N19" i="1"/>
  <c r="N15" i="1"/>
  <c r="M12" i="1"/>
  <c r="M18" i="1"/>
  <c r="M22" i="1"/>
</calcChain>
</file>

<file path=xl/sharedStrings.xml><?xml version="1.0" encoding="utf-8"?>
<sst xmlns="http://schemas.openxmlformats.org/spreadsheetml/2006/main" count="106" uniqueCount="68">
  <si>
    <t>Emprendedor (a)</t>
  </si>
  <si>
    <t>Código</t>
  </si>
  <si>
    <t>Aula</t>
  </si>
  <si>
    <t>1° Bim.</t>
  </si>
  <si>
    <t>2° Bim.</t>
  </si>
  <si>
    <t>3° Bim.</t>
  </si>
  <si>
    <t>4° Bim.</t>
  </si>
  <si>
    <t>Anual</t>
  </si>
  <si>
    <t>Áreas</t>
  </si>
  <si>
    <t>Cuant.</t>
  </si>
  <si>
    <t>Cuali.</t>
  </si>
  <si>
    <t>Prom. Final</t>
  </si>
  <si>
    <t>SN001</t>
  </si>
  <si>
    <t xml:space="preserve">Ciencia y Tecnología </t>
  </si>
  <si>
    <t>SN002</t>
  </si>
  <si>
    <t>Comunicación</t>
  </si>
  <si>
    <t>SN006</t>
  </si>
  <si>
    <t>Matemática</t>
  </si>
  <si>
    <t>SN007</t>
  </si>
  <si>
    <t>Personal Social</t>
  </si>
  <si>
    <t>SN008</t>
  </si>
  <si>
    <t>Psicomotriz (Ed. Física)</t>
  </si>
  <si>
    <t>Talleres</t>
  </si>
  <si>
    <t>ST001</t>
  </si>
  <si>
    <t xml:space="preserve">Arte </t>
  </si>
  <si>
    <t>ST002</t>
  </si>
  <si>
    <t>Religion</t>
  </si>
  <si>
    <t>ST003</t>
  </si>
  <si>
    <t>Inglés</t>
  </si>
  <si>
    <t>ST004</t>
  </si>
  <si>
    <t>Herramientas Informáticas</t>
  </si>
  <si>
    <t>ST005</t>
  </si>
  <si>
    <t>Danza</t>
  </si>
  <si>
    <t>Puntaje</t>
  </si>
  <si>
    <t>Promedio</t>
  </si>
  <si>
    <t>Orden de Mérito</t>
  </si>
  <si>
    <t>ASPECTOS ESPECÍFICOS</t>
  </si>
  <si>
    <t>FORMAMOS</t>
  </si>
  <si>
    <t>MATEMÁTICA</t>
  </si>
  <si>
    <t>1°</t>
  </si>
  <si>
    <t>2°</t>
  </si>
  <si>
    <t>3°</t>
  </si>
  <si>
    <t>4°</t>
  </si>
  <si>
    <t>EMPRENDEDORES</t>
  </si>
  <si>
    <t>Razonamiento Matemático</t>
  </si>
  <si>
    <t>COMUNICACIÓN</t>
  </si>
  <si>
    <t>Grafoescritura</t>
  </si>
  <si>
    <t>Comprensión Lectora</t>
  </si>
  <si>
    <t>Comunicación Integral</t>
  </si>
  <si>
    <t>Razonamiento Verbal</t>
  </si>
  <si>
    <t>EVALUACIÓN AL PADRE DE FAMILIA</t>
  </si>
  <si>
    <t>Envía puntualmente a su menor hijo(a).</t>
  </si>
  <si>
    <t>Envía correctamente uniformado a su menor hijo(a).</t>
  </si>
  <si>
    <t>Asiste puntualmente a reuniones convocadas por el Tutor.</t>
  </si>
  <si>
    <t>Participa en actividades socioculturales del plantel.</t>
  </si>
  <si>
    <t>Cumple con enviar los materiales solicitados.</t>
  </si>
  <si>
    <t>Apoya en la labor educativa en bienestar de su menor hijo(a).</t>
  </si>
  <si>
    <t>Cumple con responsabilidad sus deberes económicos con el plantel.</t>
  </si>
  <si>
    <t>CONDUCTA</t>
  </si>
  <si>
    <t>Comportamiento</t>
  </si>
  <si>
    <t>ASISTENCIA</t>
  </si>
  <si>
    <t>Asistencia</t>
  </si>
  <si>
    <t>Inasistencias Justificadas</t>
  </si>
  <si>
    <t>Inasistencias Injustificadas</t>
  </si>
  <si>
    <t>Tardanza</t>
  </si>
  <si>
    <t>RECOMENDACIONES DEL DOCENTE</t>
  </si>
  <si>
    <t>___________________                                                                      ___________________                                                                  ___________________</t>
  </si>
  <si>
    <t xml:space="preserve">       Docente                                                                 Coordinación                                                       Socio (PP. FF.)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</si>
</sst>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color rgb="FF000099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000099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1"/>
      <name val="Arial"/>
      <family val="2"/>
    </font>
    <font>
      <sz val="10"/>
      <color theme="0"/>
      <name val="Arial"/>
      <family val="2"/>
    </font>
    <font>
      <sz val="10"/>
      <color rgb="FF000099"/>
      <name val="Arial"/>
      <family val="2"/>
    </font>
    <font>
      <sz val="9"/>
      <color theme="0"/>
      <name val="Arial"/>
      <family val="2"/>
    </font>
    <font>
      <b/>
      <sz val="14"/>
      <color theme="0"/>
      <name val="Arial"/>
      <family val="2"/>
    </font>
    <font>
      <sz val="28"/>
      <color theme="0"/>
      <name val="Erica One"/>
    </font>
    <font>
      <sz val="24"/>
      <color theme="0"/>
      <name val="Erica One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b/>
      <sz val="9"/>
      <color theme="1"/>
      <name val="Berlin Sans FB Demi"/>
      <family val="2"/>
    </font>
    <font>
      <b/>
      <sz val="14"/>
      <color theme="1"/>
      <name val="Britannic Bold"/>
      <family val="2"/>
    </font>
    <font>
      <sz val="10"/>
      <name val="Britannic Bold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66"/>
        <bgColor rgb="FFFF996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E36C09"/>
      </left>
      <right/>
      <top style="thin">
        <color rgb="FFE36C09"/>
      </top>
      <bottom style="thin">
        <color rgb="FFE36C09"/>
      </bottom>
      <diagonal/>
    </border>
    <border>
      <left/>
      <right/>
      <top style="thin">
        <color rgb="FFE36C09"/>
      </top>
      <bottom style="thin">
        <color rgb="FFE36C09"/>
      </bottom>
      <diagonal/>
    </border>
    <border>
      <left/>
      <right style="thin">
        <color rgb="FFE36C09"/>
      </right>
      <top style="thin">
        <color rgb="FFE36C09"/>
      </top>
      <bottom style="thin">
        <color rgb="FFE36C09"/>
      </bottom>
      <diagonal/>
    </border>
    <border>
      <left style="thin">
        <color rgb="FFE36C09"/>
      </left>
      <right style="thin">
        <color rgb="FFE36C09"/>
      </right>
      <top style="thin">
        <color rgb="FFE36C09"/>
      </top>
      <bottom style="thin">
        <color rgb="FFE36C09"/>
      </bottom>
      <diagonal/>
    </border>
    <border>
      <left style="thin">
        <color rgb="FFCCC0D9"/>
      </left>
      <right style="thin">
        <color rgb="FFCCC0D9"/>
      </right>
      <top/>
      <bottom style="thin">
        <color rgb="FFCCC0D9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CCC0D9"/>
      </left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E36C09"/>
      </bottom>
      <diagonal/>
    </border>
    <border>
      <left style="thin">
        <color rgb="FFE36C09"/>
      </left>
      <right style="thin">
        <color rgb="FFE36C09"/>
      </right>
      <top/>
      <bottom/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E36C09"/>
      </left>
      <right style="thin">
        <color rgb="FFE36C09"/>
      </right>
      <top style="thin">
        <color rgb="FFE36C09"/>
      </top>
      <bottom/>
      <diagonal/>
    </border>
    <border>
      <left/>
      <right style="thin">
        <color rgb="FFE36C09"/>
      </right>
      <top style="thin">
        <color rgb="FFD8D8D8"/>
      </top>
      <bottom style="thin">
        <color rgb="FFD8D8D8"/>
      </bottom>
      <diagonal/>
    </border>
    <border>
      <left style="thin">
        <color rgb="FFE36C09"/>
      </left>
      <right style="thin">
        <color rgb="FFE36C09"/>
      </right>
      <top/>
      <bottom style="thin">
        <color rgb="FFE36C09"/>
      </bottom>
      <diagonal/>
    </border>
    <border>
      <left style="thin">
        <color rgb="FFCCC0D9"/>
      </left>
      <right/>
      <top style="thin">
        <color rgb="FFCCC0D9"/>
      </top>
      <bottom style="thin">
        <color rgb="FFCCC0D9"/>
      </bottom>
      <diagonal/>
    </border>
    <border>
      <left/>
      <right/>
      <top style="thin">
        <color rgb="FFCCC0D9"/>
      </top>
      <bottom style="thin">
        <color rgb="FFCCC0D9"/>
      </bottom>
      <diagonal/>
    </border>
    <border>
      <left/>
      <right style="thin">
        <color rgb="FFCCC0D9"/>
      </right>
      <top style="thin">
        <color rgb="FFCCC0D9"/>
      </top>
      <bottom style="thin">
        <color rgb="FFCCC0D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9" fillId="2" borderId="4" xfId="0" applyFont="1" applyFill="1" applyBorder="1" applyAlignment="1">
      <alignment horizontal="center"/>
    </xf>
    <xf numFmtId="0" fontId="2" fillId="0" borderId="10" xfId="0" applyFont="1" applyBorder="1"/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2" fillId="0" borderId="0" xfId="0" applyFont="1"/>
    <xf numFmtId="0" fontId="6" fillId="0" borderId="7" xfId="0" applyFont="1" applyBorder="1"/>
    <xf numFmtId="0" fontId="12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1" fontId="5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9" fillId="5" borderId="7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textRotation="90"/>
    </xf>
    <xf numFmtId="0" fontId="3" fillId="0" borderId="10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9" fillId="5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 textRotation="90"/>
    </xf>
    <xf numFmtId="0" fontId="3" fillId="0" borderId="14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</cellXfs>
  <cellStyles count="1">
    <cellStyle name="Normal" xfId="0" builtinId="0"/>
  </cellStyles>
  <dxfs count="56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A33" workbookViewId="0">
      <selection activeCell="I66" sqref="I66"/>
    </sheetView>
  </sheetViews>
  <sheetFormatPr baseColWidth="10" defaultColWidth="12.5703125" defaultRowHeight="15"/>
  <cols>
    <col min="1" max="1" width="2.7109375" style="3" customWidth="1"/>
    <col min="2" max="2" width="5.5703125" style="3" customWidth="1"/>
    <col min="3" max="3" width="8.5703125" style="3" customWidth="1"/>
    <col min="4" max="4" width="61.42578125" style="3" customWidth="1"/>
    <col min="5" max="5" width="1.140625" style="3" customWidth="1"/>
    <col min="6" max="13" width="6.7109375" style="3" customWidth="1"/>
    <col min="14" max="14" width="9" style="3" customWidth="1"/>
    <col min="15" max="15" width="4" style="3" customWidth="1"/>
    <col min="16" max="16" width="2.42578125" style="3" customWidth="1"/>
    <col min="17" max="26" width="10.5703125" style="3" customWidth="1"/>
    <col min="27" max="28" width="12" style="3" customWidth="1"/>
    <col min="29" max="16384" width="12.5703125" style="3"/>
  </cols>
  <sheetData>
    <row r="1" spans="1:28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8" ht="38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4"/>
      <c r="AB2" s="4"/>
    </row>
    <row r="3" spans="1:28" ht="74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8" ht="27.75" customHeight="1">
      <c r="A4" s="1"/>
      <c r="B4" s="2"/>
      <c r="C4" s="52"/>
      <c r="D4" s="53"/>
      <c r="E4" s="53"/>
      <c r="F4" s="54"/>
      <c r="G4" s="55" t="s">
        <v>0</v>
      </c>
      <c r="H4" s="50"/>
      <c r="I4" s="50"/>
      <c r="J4" s="48"/>
      <c r="K4" s="5"/>
      <c r="L4" s="5"/>
      <c r="M4" s="5"/>
      <c r="N4" s="5"/>
      <c r="O4" s="4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8" ht="18.7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/>
      <c r="O5" s="2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8" ht="21" customHeight="1">
      <c r="A6" s="1"/>
      <c r="B6" s="2"/>
      <c r="C6" s="7" t="s">
        <v>1</v>
      </c>
      <c r="D6" s="9"/>
      <c r="E6" s="8"/>
      <c r="F6" s="47" t="s">
        <v>2</v>
      </c>
      <c r="G6" s="50"/>
      <c r="H6" s="48"/>
      <c r="I6" s="10"/>
      <c r="J6" s="47"/>
      <c r="K6" s="48"/>
      <c r="L6" s="10"/>
      <c r="M6" s="47"/>
      <c r="N6" s="48"/>
      <c r="O6" s="11"/>
      <c r="P6" s="1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8" ht="18.75" customHeight="1">
      <c r="A7" s="1"/>
      <c r="B7" s="2"/>
      <c r="C7" s="13"/>
      <c r="D7" s="13"/>
      <c r="E7" s="13"/>
      <c r="F7" s="14"/>
      <c r="G7" s="14"/>
      <c r="H7" s="14"/>
      <c r="I7" s="14"/>
      <c r="J7" s="14"/>
      <c r="K7" s="14"/>
      <c r="L7" s="14"/>
      <c r="M7" s="14"/>
      <c r="N7" s="15"/>
      <c r="O7" s="2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8" ht="15" customHeight="1">
      <c r="A8" s="1"/>
      <c r="B8" s="2"/>
      <c r="C8" s="13"/>
      <c r="D8" s="13"/>
      <c r="E8" s="13"/>
      <c r="F8" s="47" t="s">
        <v>3</v>
      </c>
      <c r="G8" s="48"/>
      <c r="H8" s="47" t="s">
        <v>4</v>
      </c>
      <c r="I8" s="48"/>
      <c r="J8" s="49" t="s">
        <v>5</v>
      </c>
      <c r="K8" s="50"/>
      <c r="L8" s="47" t="s">
        <v>6</v>
      </c>
      <c r="M8" s="48"/>
      <c r="N8" s="16" t="s">
        <v>7</v>
      </c>
      <c r="O8" s="2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8" ht="11.25" customHeight="1">
      <c r="A9" s="1"/>
      <c r="B9" s="2"/>
      <c r="C9" s="13"/>
      <c r="D9" s="13"/>
      <c r="E9" s="13"/>
      <c r="F9" s="14"/>
      <c r="G9" s="14"/>
      <c r="H9" s="14"/>
      <c r="I9" s="14"/>
      <c r="J9" s="14"/>
      <c r="K9" s="14"/>
      <c r="L9" s="14"/>
      <c r="M9" s="14"/>
      <c r="N9" s="15"/>
      <c r="O9" s="2"/>
      <c r="P9" s="1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8" ht="24.75" customHeight="1">
      <c r="A10" s="1"/>
      <c r="B10" s="2"/>
      <c r="C10" s="16" t="s">
        <v>1</v>
      </c>
      <c r="D10" s="16" t="s">
        <v>8</v>
      </c>
      <c r="E10" s="2"/>
      <c r="F10" s="17" t="s">
        <v>9</v>
      </c>
      <c r="G10" s="17" t="s">
        <v>10</v>
      </c>
      <c r="H10" s="17" t="s">
        <v>9</v>
      </c>
      <c r="I10" s="17" t="s">
        <v>10</v>
      </c>
      <c r="J10" s="17" t="s">
        <v>9</v>
      </c>
      <c r="K10" s="17" t="s">
        <v>10</v>
      </c>
      <c r="L10" s="17" t="s">
        <v>9</v>
      </c>
      <c r="M10" s="17" t="s">
        <v>10</v>
      </c>
      <c r="N10" s="18" t="s">
        <v>11</v>
      </c>
      <c r="O10" s="2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8" ht="15" customHeight="1">
      <c r="A11" s="1"/>
      <c r="B11" s="2"/>
      <c r="C11" s="19" t="s">
        <v>12</v>
      </c>
      <c r="D11" s="20" t="s">
        <v>13</v>
      </c>
      <c r="E11" s="2"/>
      <c r="F11" s="21"/>
      <c r="G11" s="21" t="str">
        <f t="shared" ref="G11:G15" si="0">IF(F11&gt;17,"AD",IF(F11&gt;13,"A",IF(F11&gt;10,"B",IF(F11&lt;=10,"C"))))</f>
        <v>C</v>
      </c>
      <c r="H11" s="21"/>
      <c r="I11" s="21" t="str">
        <f t="shared" ref="I11:I15" si="1">IF(H11&gt;17,"AD",IF(H11&gt;13,"A",IF(H11&gt;10,"B",IF(H11&lt;=10,"C"))))</f>
        <v>C</v>
      </c>
      <c r="J11" s="21"/>
      <c r="K11" s="21" t="str">
        <f t="shared" ref="K11:K15" si="2">IF(J11&gt;17,"AD",IF(J11&gt;13,"A",IF(J11&gt;10,"B",IF(J11&lt;=10,"C"))))</f>
        <v>C</v>
      </c>
      <c r="L11" s="21"/>
      <c r="M11" s="21" t="str">
        <f t="shared" ref="M11:M15" si="3">IF(L11&gt;17,"AD",IF(L11&gt;13,"A",IF(L11&gt;10,"B",IF(L11&lt;=10,"C"))))</f>
        <v>C</v>
      </c>
      <c r="N11" s="21" t="str">
        <f t="shared" ref="N11:N15" si="4">IFERROR(ROUND(AVERAGE(L11,J11,H11,F11),0),"-")</f>
        <v>-</v>
      </c>
      <c r="O11" s="2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8" ht="15" customHeight="1">
      <c r="A12" s="1"/>
      <c r="B12" s="2"/>
      <c r="C12" s="22" t="s">
        <v>14</v>
      </c>
      <c r="D12" s="23" t="s">
        <v>15</v>
      </c>
      <c r="E12" s="2"/>
      <c r="F12" s="24"/>
      <c r="G12" s="24" t="str">
        <f t="shared" si="0"/>
        <v>C</v>
      </c>
      <c r="H12" s="24"/>
      <c r="I12" s="24" t="str">
        <f t="shared" si="1"/>
        <v>C</v>
      </c>
      <c r="J12" s="24"/>
      <c r="K12" s="24" t="str">
        <f t="shared" si="2"/>
        <v>C</v>
      </c>
      <c r="L12" s="24"/>
      <c r="M12" s="24" t="str">
        <f t="shared" si="3"/>
        <v>C</v>
      </c>
      <c r="N12" s="24" t="str">
        <f t="shared" si="4"/>
        <v>-</v>
      </c>
      <c r="O12" s="2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8" ht="15" customHeight="1">
      <c r="A13" s="1"/>
      <c r="B13" s="2"/>
      <c r="C13" s="22" t="s">
        <v>16</v>
      </c>
      <c r="D13" s="23" t="s">
        <v>17</v>
      </c>
      <c r="E13" s="2"/>
      <c r="F13" s="24"/>
      <c r="G13" s="24" t="str">
        <f t="shared" si="0"/>
        <v>C</v>
      </c>
      <c r="H13" s="24"/>
      <c r="I13" s="24" t="str">
        <f t="shared" si="1"/>
        <v>C</v>
      </c>
      <c r="J13" s="24"/>
      <c r="K13" s="24" t="str">
        <f t="shared" si="2"/>
        <v>C</v>
      </c>
      <c r="L13" s="24"/>
      <c r="M13" s="24" t="str">
        <f t="shared" si="3"/>
        <v>C</v>
      </c>
      <c r="N13" s="24" t="str">
        <f t="shared" si="4"/>
        <v>-</v>
      </c>
      <c r="O13" s="2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8" ht="15" customHeight="1">
      <c r="A14" s="1"/>
      <c r="B14" s="2"/>
      <c r="C14" s="22" t="s">
        <v>18</v>
      </c>
      <c r="D14" s="23" t="s">
        <v>19</v>
      </c>
      <c r="E14" s="2"/>
      <c r="F14" s="24"/>
      <c r="G14" s="24" t="str">
        <f t="shared" si="0"/>
        <v>C</v>
      </c>
      <c r="H14" s="24"/>
      <c r="I14" s="24" t="str">
        <f t="shared" si="1"/>
        <v>C</v>
      </c>
      <c r="J14" s="24"/>
      <c r="K14" s="24" t="str">
        <f t="shared" si="2"/>
        <v>C</v>
      </c>
      <c r="L14" s="24"/>
      <c r="M14" s="24" t="str">
        <f t="shared" si="3"/>
        <v>C</v>
      </c>
      <c r="N14" s="24" t="str">
        <f t="shared" si="4"/>
        <v>-</v>
      </c>
      <c r="O14" s="2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8" ht="15" customHeight="1">
      <c r="A15" s="1"/>
      <c r="B15" s="2"/>
      <c r="C15" s="22" t="s">
        <v>20</v>
      </c>
      <c r="D15" s="23" t="s">
        <v>21</v>
      </c>
      <c r="E15" s="2"/>
      <c r="F15" s="24"/>
      <c r="G15" s="24" t="str">
        <f t="shared" si="0"/>
        <v>C</v>
      </c>
      <c r="H15" s="24"/>
      <c r="I15" s="24" t="str">
        <f t="shared" si="1"/>
        <v>C</v>
      </c>
      <c r="J15" s="24"/>
      <c r="K15" s="24" t="str">
        <f t="shared" si="2"/>
        <v>C</v>
      </c>
      <c r="L15" s="24"/>
      <c r="M15" s="24" t="str">
        <f t="shared" si="3"/>
        <v>C</v>
      </c>
      <c r="N15" s="24" t="str">
        <f t="shared" si="4"/>
        <v>-</v>
      </c>
      <c r="O15" s="2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8" ht="15" customHeight="1">
      <c r="A16" s="1"/>
      <c r="B16" s="2"/>
      <c r="C16" s="2"/>
      <c r="D16" s="2"/>
      <c r="E16" s="2"/>
      <c r="F16" s="25"/>
      <c r="G16" s="25"/>
      <c r="H16" s="25"/>
      <c r="I16" s="25"/>
      <c r="J16" s="25"/>
      <c r="K16" s="25"/>
      <c r="L16" s="25"/>
      <c r="M16" s="25"/>
      <c r="N16" s="25"/>
      <c r="O16" s="2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.25" customHeight="1">
      <c r="A17" s="1"/>
      <c r="B17" s="2"/>
      <c r="C17" s="26" t="s">
        <v>1</v>
      </c>
      <c r="D17" s="26" t="s">
        <v>22</v>
      </c>
      <c r="E17" s="27"/>
      <c r="F17" s="28" t="s">
        <v>9</v>
      </c>
      <c r="G17" s="17" t="s">
        <v>10</v>
      </c>
      <c r="H17" s="17" t="s">
        <v>9</v>
      </c>
      <c r="I17" s="17" t="s">
        <v>10</v>
      </c>
      <c r="J17" s="17" t="s">
        <v>9</v>
      </c>
      <c r="K17" s="17" t="s">
        <v>10</v>
      </c>
      <c r="L17" s="17" t="s">
        <v>9</v>
      </c>
      <c r="M17" s="29" t="s">
        <v>10</v>
      </c>
      <c r="N17" s="30" t="s">
        <v>11</v>
      </c>
      <c r="O17" s="2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1"/>
      <c r="B18" s="2"/>
      <c r="C18" s="31" t="s">
        <v>23</v>
      </c>
      <c r="D18" s="31" t="s">
        <v>24</v>
      </c>
      <c r="E18" s="32"/>
      <c r="F18" s="21"/>
      <c r="G18" s="21" t="str">
        <f t="shared" ref="G18:G22" si="5">IF(F18&gt;17,"AD",IF(F18&gt;13,"A",IF(F18&gt;10,"B",IF(F18&lt;=10,"C"))))</f>
        <v>C</v>
      </c>
      <c r="H18" s="21"/>
      <c r="I18" s="21" t="str">
        <f t="shared" ref="I18:I22" si="6">IF(H18&gt;17,"AD",IF(H18&gt;13,"A",IF(H18&gt;10,"B",IF(H18&lt;=10,"C"))))</f>
        <v>C</v>
      </c>
      <c r="J18" s="21"/>
      <c r="K18" s="21" t="str">
        <f t="shared" ref="K18:K22" si="7">IF(J18&gt;17,"AD",IF(J18&gt;13,"A",IF(J18&gt;10,"B",IF(J18&lt;=10,"C"))))</f>
        <v>C</v>
      </c>
      <c r="L18" s="21"/>
      <c r="M18" s="21" t="str">
        <f t="shared" ref="M18:M22" si="8">IF(L18&gt;17,"AD",IF(L18&gt;13,"A",IF(L18&gt;10,"B",IF(L18&lt;=10,"C"))))</f>
        <v>C</v>
      </c>
      <c r="N18" s="21" t="str">
        <f t="shared" ref="N18:N22" si="9">IFERROR(ROUND(AVERAGE(L18,J18,H18,F18),0),"-")</f>
        <v>-</v>
      </c>
      <c r="O18" s="2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1"/>
      <c r="B19" s="2"/>
      <c r="C19" s="33" t="s">
        <v>25</v>
      </c>
      <c r="D19" s="33" t="s">
        <v>26</v>
      </c>
      <c r="E19" s="32"/>
      <c r="F19" s="24"/>
      <c r="G19" s="24" t="str">
        <f t="shared" si="5"/>
        <v>C</v>
      </c>
      <c r="H19" s="24"/>
      <c r="I19" s="24" t="str">
        <f t="shared" si="6"/>
        <v>C</v>
      </c>
      <c r="J19" s="24"/>
      <c r="K19" s="24" t="str">
        <f t="shared" si="7"/>
        <v>C</v>
      </c>
      <c r="L19" s="24"/>
      <c r="M19" s="24" t="str">
        <f t="shared" si="8"/>
        <v>C</v>
      </c>
      <c r="N19" s="24" t="str">
        <f t="shared" si="9"/>
        <v>-</v>
      </c>
      <c r="O19" s="2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1"/>
      <c r="B20" s="2"/>
      <c r="C20" s="33" t="s">
        <v>27</v>
      </c>
      <c r="D20" s="33" t="s">
        <v>28</v>
      </c>
      <c r="E20" s="32"/>
      <c r="F20" s="24"/>
      <c r="G20" s="24" t="str">
        <f t="shared" si="5"/>
        <v>C</v>
      </c>
      <c r="H20" s="24"/>
      <c r="I20" s="24" t="str">
        <f t="shared" si="6"/>
        <v>C</v>
      </c>
      <c r="J20" s="24"/>
      <c r="K20" s="24" t="str">
        <f t="shared" si="7"/>
        <v>C</v>
      </c>
      <c r="L20" s="24"/>
      <c r="M20" s="24" t="str">
        <f t="shared" si="8"/>
        <v>C</v>
      </c>
      <c r="N20" s="24" t="str">
        <f t="shared" si="9"/>
        <v>-</v>
      </c>
      <c r="O20" s="2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1"/>
      <c r="B21" s="2"/>
      <c r="C21" s="33" t="s">
        <v>29</v>
      </c>
      <c r="D21" s="33" t="s">
        <v>30</v>
      </c>
      <c r="E21" s="32"/>
      <c r="F21" s="24"/>
      <c r="G21" s="24" t="str">
        <f t="shared" si="5"/>
        <v>C</v>
      </c>
      <c r="H21" s="24"/>
      <c r="I21" s="24" t="str">
        <f t="shared" si="6"/>
        <v>C</v>
      </c>
      <c r="J21" s="24"/>
      <c r="K21" s="24" t="str">
        <f t="shared" si="7"/>
        <v>C</v>
      </c>
      <c r="L21" s="24"/>
      <c r="M21" s="24" t="str">
        <f t="shared" si="8"/>
        <v>C</v>
      </c>
      <c r="N21" s="24" t="str">
        <f t="shared" si="9"/>
        <v>-</v>
      </c>
      <c r="O21" s="2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0.75" hidden="1" customHeight="1">
      <c r="A22" s="1"/>
      <c r="B22" s="2"/>
      <c r="C22" s="33" t="s">
        <v>31</v>
      </c>
      <c r="D22" s="33" t="s">
        <v>32</v>
      </c>
      <c r="E22" s="32"/>
      <c r="F22" s="24" t="str">
        <f>IFERROR(VLOOKUP($D$6,sabana1,12,FALSE),"-")</f>
        <v>-</v>
      </c>
      <c r="G22" s="24" t="str">
        <f t="shared" si="5"/>
        <v>AD</v>
      </c>
      <c r="H22" s="24" t="str">
        <f>IFERROR(VLOOKUP($D$6,sabana2,12,FALSE),"-")</f>
        <v>-</v>
      </c>
      <c r="I22" s="24" t="str">
        <f t="shared" si="6"/>
        <v>AD</v>
      </c>
      <c r="J22" s="24" t="str">
        <f>IFERROR(VLOOKUP($D$6,sabana3,12,FALSE),"-")</f>
        <v>-</v>
      </c>
      <c r="K22" s="24" t="str">
        <f t="shared" si="7"/>
        <v>AD</v>
      </c>
      <c r="L22" s="24" t="str">
        <f>IFERROR(VLOOKUP($D$6,sabana4,12,FALSE),"-")</f>
        <v>-</v>
      </c>
      <c r="M22" s="24" t="str">
        <f t="shared" si="8"/>
        <v>AD</v>
      </c>
      <c r="N22" s="24" t="str">
        <f t="shared" si="9"/>
        <v>-</v>
      </c>
      <c r="O22" s="2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1"/>
      <c r="B23" s="2"/>
      <c r="C23" s="2"/>
      <c r="D23" s="2"/>
      <c r="E23" s="2"/>
      <c r="F23" s="2"/>
      <c r="G23" s="2"/>
      <c r="H23" s="34"/>
      <c r="I23" s="34"/>
      <c r="J23" s="34"/>
      <c r="K23" s="34"/>
      <c r="L23" s="35"/>
      <c r="M23" s="36"/>
      <c r="N23" s="37"/>
      <c r="O23" s="2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1"/>
      <c r="B24" s="2"/>
      <c r="C24" s="2"/>
      <c r="D24" s="38" t="s">
        <v>33</v>
      </c>
      <c r="E24" s="2"/>
      <c r="F24" s="56"/>
      <c r="G24" s="57"/>
      <c r="H24" s="56"/>
      <c r="I24" s="57"/>
      <c r="J24" s="56"/>
      <c r="K24" s="57"/>
      <c r="L24" s="56"/>
      <c r="M24" s="57"/>
      <c r="N24" s="39" t="str">
        <f t="shared" ref="N24:N26" si="10">IFERROR(ROUND(AVERAGE(L24,J24,H24,F24),0),"-")</f>
        <v>-</v>
      </c>
      <c r="O24" s="2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1"/>
      <c r="B25" s="2"/>
      <c r="C25" s="2"/>
      <c r="D25" s="38" t="s">
        <v>34</v>
      </c>
      <c r="E25" s="2"/>
      <c r="F25" s="58"/>
      <c r="G25" s="57"/>
      <c r="H25" s="58"/>
      <c r="I25" s="57"/>
      <c r="J25" s="58"/>
      <c r="K25" s="57"/>
      <c r="L25" s="58"/>
      <c r="M25" s="57"/>
      <c r="N25" s="40" t="str">
        <f t="shared" si="10"/>
        <v>-</v>
      </c>
      <c r="O25" s="2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1"/>
      <c r="B26" s="2"/>
      <c r="C26" s="2"/>
      <c r="D26" s="38" t="s">
        <v>35</v>
      </c>
      <c r="E26" s="2"/>
      <c r="F26" s="63"/>
      <c r="G26" s="57"/>
      <c r="H26" s="63"/>
      <c r="I26" s="57"/>
      <c r="J26" s="63"/>
      <c r="K26" s="57"/>
      <c r="L26" s="63"/>
      <c r="M26" s="57"/>
      <c r="N26" s="24" t="str">
        <f t="shared" si="10"/>
        <v>-</v>
      </c>
      <c r="O26" s="2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41"/>
      <c r="M27" s="2"/>
      <c r="N27" s="37"/>
      <c r="O27" s="2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1"/>
      <c r="B28" s="2"/>
      <c r="C28" s="64" t="s">
        <v>36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48"/>
      <c r="O28" s="2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.75" customHeight="1">
      <c r="A29" s="1"/>
      <c r="B29" s="2"/>
      <c r="C29" s="5"/>
      <c r="D29" s="5"/>
      <c r="E29" s="5"/>
      <c r="F29" s="5"/>
      <c r="G29" s="5"/>
      <c r="H29" s="5"/>
      <c r="I29" s="5"/>
      <c r="J29" s="5"/>
      <c r="K29" s="2"/>
      <c r="L29" s="2"/>
      <c r="M29" s="5"/>
      <c r="N29" s="5"/>
      <c r="O29" s="2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1"/>
      <c r="B30" s="2"/>
      <c r="C30" s="59" t="s">
        <v>37</v>
      </c>
      <c r="D30" s="42" t="s">
        <v>38</v>
      </c>
      <c r="E30" s="5"/>
      <c r="F30" s="62" t="s">
        <v>39</v>
      </c>
      <c r="G30" s="57"/>
      <c r="H30" s="62" t="s">
        <v>40</v>
      </c>
      <c r="I30" s="57"/>
      <c r="J30" s="62" t="s">
        <v>41</v>
      </c>
      <c r="K30" s="57"/>
      <c r="L30" s="62" t="s">
        <v>42</v>
      </c>
      <c r="M30" s="57"/>
      <c r="N30" s="65" t="s">
        <v>43</v>
      </c>
      <c r="O30" s="2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1"/>
      <c r="B31" s="2"/>
      <c r="C31" s="60"/>
      <c r="D31" s="23" t="s">
        <v>17</v>
      </c>
      <c r="E31" s="36"/>
      <c r="F31" s="24"/>
      <c r="G31" s="24" t="str">
        <f t="shared" ref="G31:G32" si="11">IF(F31&gt;17,"AD",IF(F31&gt;13,"A",IF(F31&gt;10,"B",IF(F31&lt;=10,"C"))))</f>
        <v>C</v>
      </c>
      <c r="H31" s="24"/>
      <c r="I31" s="24" t="str">
        <f t="shared" ref="I31:I32" si="12">IF(H31&gt;17,"AD",IF(H31&gt;13,"A",IF(H31&gt;10,"B",IF(H31&lt;=10,"C"))))</f>
        <v>C</v>
      </c>
      <c r="J31" s="24"/>
      <c r="K31" s="24" t="str">
        <f t="shared" ref="K31:K32" si="13">IF(J31&gt;17,"AD",IF(J31&gt;13,"A",IF(J31&gt;10,"B",IF(J31&lt;=10,"C"))))</f>
        <v>C</v>
      </c>
      <c r="L31" s="24"/>
      <c r="M31" s="43" t="str">
        <f t="shared" ref="M31:M32" si="14">IF(L31&gt;17,"AD",IF(L31&gt;13,"A",IF(L31&gt;10,"B",IF(L31&lt;=10,"C"))))</f>
        <v>C</v>
      </c>
      <c r="N31" s="60"/>
      <c r="O31" s="2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1"/>
      <c r="B32" s="2"/>
      <c r="C32" s="60"/>
      <c r="D32" s="23" t="s">
        <v>44</v>
      </c>
      <c r="E32" s="36"/>
      <c r="F32" s="24"/>
      <c r="G32" s="24" t="str">
        <f t="shared" si="11"/>
        <v>C</v>
      </c>
      <c r="H32" s="24"/>
      <c r="I32" s="24" t="str">
        <f t="shared" si="12"/>
        <v>C</v>
      </c>
      <c r="J32" s="24"/>
      <c r="K32" s="24" t="str">
        <f t="shared" si="13"/>
        <v>C</v>
      </c>
      <c r="L32" s="24"/>
      <c r="M32" s="43" t="str">
        <f t="shared" si="14"/>
        <v>C</v>
      </c>
      <c r="N32" s="60"/>
      <c r="O32" s="2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0.5" customHeight="1">
      <c r="A33" s="1"/>
      <c r="B33" s="2"/>
      <c r="C33" s="60"/>
      <c r="D33" s="2"/>
      <c r="E33" s="2"/>
      <c r="F33" s="2"/>
      <c r="G33" s="2"/>
      <c r="H33" s="2"/>
      <c r="I33" s="2"/>
      <c r="J33" s="36"/>
      <c r="K33" s="36"/>
      <c r="L33" s="36"/>
      <c r="M33" s="2"/>
      <c r="N33" s="60"/>
      <c r="O33" s="2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1"/>
      <c r="B34" s="2"/>
      <c r="C34" s="60"/>
      <c r="D34" s="42" t="s">
        <v>45</v>
      </c>
      <c r="E34" s="5"/>
      <c r="F34" s="62" t="s">
        <v>39</v>
      </c>
      <c r="G34" s="57"/>
      <c r="H34" s="62" t="s">
        <v>40</v>
      </c>
      <c r="I34" s="57"/>
      <c r="J34" s="62" t="s">
        <v>41</v>
      </c>
      <c r="K34" s="57"/>
      <c r="L34" s="62" t="s">
        <v>42</v>
      </c>
      <c r="M34" s="57"/>
      <c r="N34" s="60"/>
      <c r="O34" s="2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1"/>
      <c r="B35" s="2"/>
      <c r="C35" s="60"/>
      <c r="D35" s="23" t="s">
        <v>46</v>
      </c>
      <c r="E35" s="36"/>
      <c r="F35" s="24"/>
      <c r="G35" s="24" t="str">
        <f t="shared" ref="G35:G38" si="15">IF(F35&gt;17,"AD",IF(F35&gt;13,"A",IF(F35&gt;10,"B",IF(F35&lt;=10,"C"))))</f>
        <v>C</v>
      </c>
      <c r="H35" s="24"/>
      <c r="I35" s="24" t="str">
        <f t="shared" ref="I35:I38" si="16">IF(H35&gt;17,"AD",IF(H35&gt;13,"A",IF(H35&gt;10,"B",IF(H35&lt;=10,"C"))))</f>
        <v>C</v>
      </c>
      <c r="J35" s="24"/>
      <c r="K35" s="24" t="str">
        <f t="shared" ref="K35:K38" si="17">IF(J35&gt;17,"AD",IF(J35&gt;13,"A",IF(J35&gt;10,"B",IF(J35&lt;=10,"C"))))</f>
        <v>C</v>
      </c>
      <c r="L35" s="24"/>
      <c r="M35" s="43" t="str">
        <f t="shared" ref="M35:M38" si="18">IF(L35&gt;17,"AD",IF(L35&gt;13,"A",IF(L35&gt;10,"B",IF(L35&lt;=10,"C"))))</f>
        <v>C</v>
      </c>
      <c r="N35" s="60"/>
      <c r="O35" s="2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1"/>
      <c r="B36" s="2"/>
      <c r="C36" s="60"/>
      <c r="D36" s="23" t="s">
        <v>47</v>
      </c>
      <c r="E36" s="36"/>
      <c r="F36" s="24"/>
      <c r="G36" s="24" t="str">
        <f t="shared" si="15"/>
        <v>C</v>
      </c>
      <c r="H36" s="24"/>
      <c r="I36" s="24" t="str">
        <f t="shared" si="16"/>
        <v>C</v>
      </c>
      <c r="J36" s="24"/>
      <c r="K36" s="24" t="str">
        <f t="shared" si="17"/>
        <v>C</v>
      </c>
      <c r="L36" s="24"/>
      <c r="M36" s="43" t="str">
        <f t="shared" si="18"/>
        <v>C</v>
      </c>
      <c r="N36" s="60"/>
      <c r="O36" s="2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1"/>
      <c r="B37" s="2"/>
      <c r="C37" s="60"/>
      <c r="D37" s="23" t="s">
        <v>48</v>
      </c>
      <c r="E37" s="36"/>
      <c r="F37" s="24"/>
      <c r="G37" s="24" t="str">
        <f t="shared" si="15"/>
        <v>C</v>
      </c>
      <c r="H37" s="24"/>
      <c r="I37" s="24" t="str">
        <f t="shared" si="16"/>
        <v>C</v>
      </c>
      <c r="J37" s="24"/>
      <c r="K37" s="24" t="str">
        <f t="shared" si="17"/>
        <v>C</v>
      </c>
      <c r="L37" s="24"/>
      <c r="M37" s="43" t="str">
        <f t="shared" si="18"/>
        <v>C</v>
      </c>
      <c r="N37" s="60"/>
      <c r="O37" s="2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1"/>
      <c r="B38" s="2"/>
      <c r="C38" s="60"/>
      <c r="D38" s="23" t="s">
        <v>49</v>
      </c>
      <c r="E38" s="36"/>
      <c r="F38" s="24"/>
      <c r="G38" s="24" t="str">
        <f t="shared" si="15"/>
        <v>C</v>
      </c>
      <c r="H38" s="24"/>
      <c r="I38" s="24" t="str">
        <f t="shared" si="16"/>
        <v>C</v>
      </c>
      <c r="J38" s="24"/>
      <c r="K38" s="24" t="str">
        <f t="shared" si="17"/>
        <v>C</v>
      </c>
      <c r="L38" s="24"/>
      <c r="M38" s="43" t="str">
        <f t="shared" si="18"/>
        <v>C</v>
      </c>
      <c r="N38" s="60"/>
      <c r="O38" s="2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hidden="1" customHeight="1">
      <c r="A39" s="1"/>
      <c r="B39" s="2"/>
      <c r="C39" s="60"/>
      <c r="D39" s="2"/>
      <c r="E39" s="2"/>
      <c r="F39" s="2"/>
      <c r="G39" s="2"/>
      <c r="H39" s="2"/>
      <c r="I39" s="2"/>
      <c r="J39" s="2"/>
      <c r="K39" s="2"/>
      <c r="L39" s="2"/>
      <c r="M39" s="2"/>
      <c r="N39" s="60"/>
      <c r="O39" s="2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hidden="1" customHeight="1">
      <c r="A40" s="1"/>
      <c r="B40" s="2"/>
      <c r="C40" s="60"/>
      <c r="D40" s="42" t="s">
        <v>50</v>
      </c>
      <c r="E40" s="44"/>
      <c r="F40" s="62" t="s">
        <v>39</v>
      </c>
      <c r="G40" s="57"/>
      <c r="H40" s="62" t="s">
        <v>40</v>
      </c>
      <c r="I40" s="57"/>
      <c r="J40" s="62" t="s">
        <v>41</v>
      </c>
      <c r="K40" s="57"/>
      <c r="L40" s="62" t="s">
        <v>42</v>
      </c>
      <c r="M40" s="66"/>
      <c r="N40" s="60"/>
      <c r="O40" s="2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hidden="1" customHeight="1">
      <c r="A41" s="1"/>
      <c r="B41" s="2"/>
      <c r="C41" s="60"/>
      <c r="D41" s="23" t="s">
        <v>51</v>
      </c>
      <c r="E41" s="5"/>
      <c r="F41" s="24" t="str">
        <f>IFERROR(VLOOKUP($D$6,sabana1,34,FALSE),"-")</f>
        <v>-</v>
      </c>
      <c r="G41" s="24" t="str">
        <f t="shared" ref="G41:G47" si="19">IF(F41&gt;17,"AD",IF(F41&gt;13,"A",IF(F41&gt;10,"B",IF(F41&lt;=10,"C"))))</f>
        <v>AD</v>
      </c>
      <c r="H41" s="24" t="str">
        <f>IFERROR(VLOOKUP($D$6,sabana2,34,FALSE),"-")</f>
        <v>-</v>
      </c>
      <c r="I41" s="24" t="str">
        <f t="shared" ref="I41:I47" si="20">IF(H41&gt;17,"AD",IF(H41&gt;13,"A",IF(H41&gt;10,"B",IF(H41&lt;=10,"C"))))</f>
        <v>AD</v>
      </c>
      <c r="J41" s="24" t="str">
        <f>IFERROR(VLOOKUP($D$6,sabana3,34,FALSE),"-")</f>
        <v>-</v>
      </c>
      <c r="K41" s="24" t="str">
        <f t="shared" ref="K41:K47" si="21">IF(J41&gt;17,"AD",IF(J41&gt;13,"A",IF(J41&gt;10,"B",IF(J41&lt;=10,"C"))))</f>
        <v>AD</v>
      </c>
      <c r="L41" s="24" t="str">
        <f>IFERROR(VLOOKUP($D$6,sabana4,34,FALSE),"-")</f>
        <v>-</v>
      </c>
      <c r="M41" s="43" t="str">
        <f t="shared" ref="M41:M47" si="22">IF(L41&gt;17,"AD",IF(L41&gt;13,"A",IF(L41&gt;10,"B",IF(L41&lt;=10,"C"))))</f>
        <v>AD</v>
      </c>
      <c r="N41" s="60"/>
      <c r="O41" s="2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 hidden="1" customHeight="1">
      <c r="A42" s="1"/>
      <c r="B42" s="2"/>
      <c r="C42" s="60"/>
      <c r="D42" s="23" t="s">
        <v>52</v>
      </c>
      <c r="E42" s="5"/>
      <c r="F42" s="24" t="str">
        <f>IFERROR(VLOOKUP($D$6,sabana1,35,FALSE),"-")</f>
        <v>-</v>
      </c>
      <c r="G42" s="24" t="str">
        <f t="shared" si="19"/>
        <v>AD</v>
      </c>
      <c r="H42" s="24" t="str">
        <f>IFERROR(VLOOKUP($D$6,sabana2,35,FALSE),"-")</f>
        <v>-</v>
      </c>
      <c r="I42" s="24" t="str">
        <f t="shared" si="20"/>
        <v>AD</v>
      </c>
      <c r="J42" s="24" t="str">
        <f>IFERROR(VLOOKUP($D$6,sabana3,35,FALSE),"-")</f>
        <v>-</v>
      </c>
      <c r="K42" s="24" t="str">
        <f t="shared" si="21"/>
        <v>AD</v>
      </c>
      <c r="L42" s="24" t="str">
        <f>IFERROR(VLOOKUP($D$6,sabana4,35,FALSE),"-")</f>
        <v>-</v>
      </c>
      <c r="M42" s="43" t="str">
        <f t="shared" si="22"/>
        <v>AD</v>
      </c>
      <c r="N42" s="60"/>
      <c r="O42" s="2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hidden="1" customHeight="1">
      <c r="A43" s="1"/>
      <c r="B43" s="2"/>
      <c r="C43" s="60"/>
      <c r="D43" s="23" t="s">
        <v>53</v>
      </c>
      <c r="E43" s="5"/>
      <c r="F43" s="24" t="str">
        <f>IFERROR(VLOOKUP($D$6,sabana1,36,FALSE),"-")</f>
        <v>-</v>
      </c>
      <c r="G43" s="24" t="str">
        <f t="shared" si="19"/>
        <v>AD</v>
      </c>
      <c r="H43" s="24" t="str">
        <f>IFERROR(VLOOKUP($D$6,sabana2,36,FALSE),"-")</f>
        <v>-</v>
      </c>
      <c r="I43" s="24" t="str">
        <f t="shared" si="20"/>
        <v>AD</v>
      </c>
      <c r="J43" s="24" t="str">
        <f>IFERROR(VLOOKUP($D$6,sabana3,36,FALSE),"-")</f>
        <v>-</v>
      </c>
      <c r="K43" s="24" t="str">
        <f t="shared" si="21"/>
        <v>AD</v>
      </c>
      <c r="L43" s="24" t="str">
        <f>IFERROR(VLOOKUP($D$6,sabana4,36,FALSE),"-")</f>
        <v>-</v>
      </c>
      <c r="M43" s="43" t="str">
        <f t="shared" si="22"/>
        <v>AD</v>
      </c>
      <c r="N43" s="60"/>
      <c r="O43" s="2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hidden="1" customHeight="1">
      <c r="A44" s="1"/>
      <c r="B44" s="2"/>
      <c r="C44" s="60"/>
      <c r="D44" s="23" t="s">
        <v>54</v>
      </c>
      <c r="E44" s="5"/>
      <c r="F44" s="24" t="str">
        <f>IFERROR(VLOOKUP($D$6,sabana1,37,FALSE),"-")</f>
        <v>-</v>
      </c>
      <c r="G44" s="24" t="str">
        <f t="shared" si="19"/>
        <v>AD</v>
      </c>
      <c r="H44" s="24" t="str">
        <f>IFERROR(VLOOKUP($D$6,sabana2,37,FALSE),"-")</f>
        <v>-</v>
      </c>
      <c r="I44" s="24" t="str">
        <f t="shared" si="20"/>
        <v>AD</v>
      </c>
      <c r="J44" s="24" t="str">
        <f>IFERROR(VLOOKUP($D$6,sabana3,37,FALSE),"-")</f>
        <v>-</v>
      </c>
      <c r="K44" s="24" t="str">
        <f t="shared" si="21"/>
        <v>AD</v>
      </c>
      <c r="L44" s="24" t="str">
        <f>IFERROR(VLOOKUP($D$6,sabana4,37,FALSE),"-")</f>
        <v>-</v>
      </c>
      <c r="M44" s="43" t="str">
        <f t="shared" si="22"/>
        <v>AD</v>
      </c>
      <c r="N44" s="60"/>
      <c r="O44" s="2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hidden="1" customHeight="1">
      <c r="A45" s="1"/>
      <c r="B45" s="2"/>
      <c r="C45" s="60"/>
      <c r="D45" s="23" t="s">
        <v>55</v>
      </c>
      <c r="E45" s="5"/>
      <c r="F45" s="24" t="str">
        <f>IFERROR(VLOOKUP($D$6,sabana1,38,FALSE),"-")</f>
        <v>-</v>
      </c>
      <c r="G45" s="24" t="str">
        <f t="shared" si="19"/>
        <v>AD</v>
      </c>
      <c r="H45" s="24" t="str">
        <f>IFERROR(VLOOKUP($D$6,sabana2,38,FALSE),"-")</f>
        <v>-</v>
      </c>
      <c r="I45" s="24" t="str">
        <f t="shared" si="20"/>
        <v>AD</v>
      </c>
      <c r="J45" s="24" t="str">
        <f>IFERROR(VLOOKUP($D$6,sabana3,38,FALSE),"-")</f>
        <v>-</v>
      </c>
      <c r="K45" s="24" t="str">
        <f t="shared" si="21"/>
        <v>AD</v>
      </c>
      <c r="L45" s="24" t="str">
        <f>IFERROR(VLOOKUP($D$6,sabana4,38,FALSE),"-")</f>
        <v>-</v>
      </c>
      <c r="M45" s="43" t="str">
        <f t="shared" si="22"/>
        <v>AD</v>
      </c>
      <c r="N45" s="60"/>
      <c r="O45" s="2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hidden="1" customHeight="1">
      <c r="A46" s="1"/>
      <c r="B46" s="2"/>
      <c r="C46" s="60"/>
      <c r="D46" s="23" t="s">
        <v>56</v>
      </c>
      <c r="E46" s="5"/>
      <c r="F46" s="24" t="str">
        <f>IFERROR(VLOOKUP($D$6,sabana1,39,FALSE),"-")</f>
        <v>-</v>
      </c>
      <c r="G46" s="24" t="str">
        <f t="shared" si="19"/>
        <v>AD</v>
      </c>
      <c r="H46" s="24" t="str">
        <f>IFERROR(VLOOKUP($D$6,sabana2,39,FALSE),"-")</f>
        <v>-</v>
      </c>
      <c r="I46" s="24" t="str">
        <f t="shared" si="20"/>
        <v>AD</v>
      </c>
      <c r="J46" s="24" t="str">
        <f>IFERROR(VLOOKUP($D$6,sabana3,39,FALSE),"-")</f>
        <v>-</v>
      </c>
      <c r="K46" s="24" t="str">
        <f t="shared" si="21"/>
        <v>AD</v>
      </c>
      <c r="L46" s="24" t="str">
        <f>IFERROR(VLOOKUP($D$6,sabana4,39,FALSE),"-")</f>
        <v>-</v>
      </c>
      <c r="M46" s="43" t="str">
        <f t="shared" si="22"/>
        <v>AD</v>
      </c>
      <c r="N46" s="60"/>
      <c r="O46" s="2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hidden="1" customHeight="1">
      <c r="A47" s="1"/>
      <c r="B47" s="2"/>
      <c r="C47" s="60"/>
      <c r="D47" s="23" t="s">
        <v>57</v>
      </c>
      <c r="E47" s="5"/>
      <c r="F47" s="24" t="str">
        <f>IFERROR(VLOOKUP($D$6,sabana1,40,FALSE),"-")</f>
        <v>-</v>
      </c>
      <c r="G47" s="24" t="str">
        <f t="shared" si="19"/>
        <v>AD</v>
      </c>
      <c r="H47" s="24" t="str">
        <f>IFERROR(VLOOKUP($D$6,sabana2,40,FALSE),"-")</f>
        <v>-</v>
      </c>
      <c r="I47" s="24" t="str">
        <f t="shared" si="20"/>
        <v>AD</v>
      </c>
      <c r="J47" s="24" t="str">
        <f>IFERROR(VLOOKUP($D$6,sabana3,40,FALSE),"-")</f>
        <v>-</v>
      </c>
      <c r="K47" s="24" t="str">
        <f t="shared" si="21"/>
        <v>AD</v>
      </c>
      <c r="L47" s="24" t="str">
        <f>IFERROR(VLOOKUP($D$6,sabana4,40,FALSE),"-")</f>
        <v>-</v>
      </c>
      <c r="M47" s="43" t="str">
        <f t="shared" si="22"/>
        <v>AD</v>
      </c>
      <c r="N47" s="60"/>
      <c r="O47" s="2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0.5" customHeight="1">
      <c r="A48" s="1"/>
      <c r="B48" s="2"/>
      <c r="C48" s="60"/>
      <c r="D48" s="2"/>
      <c r="E48" s="2"/>
      <c r="F48" s="2"/>
      <c r="G48" s="2"/>
      <c r="H48" s="2"/>
      <c r="I48" s="2"/>
      <c r="J48" s="2"/>
      <c r="K48" s="2"/>
      <c r="L48" s="2"/>
      <c r="M48" s="2"/>
      <c r="N48" s="60"/>
      <c r="O48" s="2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1"/>
      <c r="B49" s="2"/>
      <c r="C49" s="60"/>
      <c r="D49" s="42" t="s">
        <v>58</v>
      </c>
      <c r="E49" s="13"/>
      <c r="F49" s="62" t="s">
        <v>39</v>
      </c>
      <c r="G49" s="57"/>
      <c r="H49" s="62" t="s">
        <v>40</v>
      </c>
      <c r="I49" s="57"/>
      <c r="J49" s="62" t="s">
        <v>41</v>
      </c>
      <c r="K49" s="57"/>
      <c r="L49" s="62" t="s">
        <v>42</v>
      </c>
      <c r="M49" s="57"/>
      <c r="N49" s="60"/>
      <c r="O49" s="2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60"/>
      <c r="D50" s="23" t="s">
        <v>59</v>
      </c>
      <c r="E50" s="2"/>
      <c r="F50" s="24"/>
      <c r="G50" s="24" t="str">
        <f>IF(F50&gt;17,"AD",IF(F50&gt;13,"A",IF(F50&gt;10,"B",IF(F50&lt;=10,"C"))))</f>
        <v>C</v>
      </c>
      <c r="H50" s="24"/>
      <c r="I50" s="24" t="str">
        <f>IF(H50&gt;17,"AD",IF(H50&gt;13,"A",IF(H50&gt;10,"B",IF(H50&lt;=10,"C"))))</f>
        <v>C</v>
      </c>
      <c r="J50" s="24"/>
      <c r="K50" s="24" t="str">
        <f>IF(J50&gt;17,"AD",IF(J50&gt;13,"A",IF(J50&gt;10,"B",IF(J50&lt;=10,"C"))))</f>
        <v>C</v>
      </c>
      <c r="L50" s="24"/>
      <c r="M50" s="43" t="str">
        <f>IF(L50&gt;17,"AD",IF(L50&gt;13,"A",IF(L50&gt;10,"B",IF(L50&lt;=10,"C"))))</f>
        <v>C</v>
      </c>
      <c r="N50" s="60"/>
      <c r="O50" s="2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60"/>
      <c r="D51" s="42" t="s">
        <v>60</v>
      </c>
      <c r="E51" s="13"/>
      <c r="F51" s="62" t="s">
        <v>39</v>
      </c>
      <c r="G51" s="57"/>
      <c r="H51" s="62" t="s">
        <v>40</v>
      </c>
      <c r="I51" s="57"/>
      <c r="J51" s="62" t="s">
        <v>41</v>
      </c>
      <c r="K51" s="57"/>
      <c r="L51" s="62" t="s">
        <v>42</v>
      </c>
      <c r="M51" s="57"/>
      <c r="N51" s="60"/>
      <c r="O51" s="2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.75" customHeight="1">
      <c r="A52" s="1"/>
      <c r="B52" s="2"/>
      <c r="C52" s="60"/>
      <c r="D52" s="23" t="s">
        <v>61</v>
      </c>
      <c r="E52" s="2"/>
      <c r="F52" s="24"/>
      <c r="G52" s="24" t="str">
        <f>IF(F52&gt;40,"AD",IF(F52&gt;30,"A",IF(F52&gt;20,"B","C")))</f>
        <v>C</v>
      </c>
      <c r="H52" s="24"/>
      <c r="I52" s="24" t="str">
        <f>IF(H52&gt;40,"AD",IF(H52&gt;30,"A",IF(H52&gt;20,"B","C")))</f>
        <v>C</v>
      </c>
      <c r="J52" s="24"/>
      <c r="K52" s="24" t="str">
        <f>IF(J52&gt;40,"AD",IF(J52&gt;30,"A",IF(J52&gt;20,"B","C")))</f>
        <v>C</v>
      </c>
      <c r="L52" s="24"/>
      <c r="M52" s="24" t="str">
        <f>IF(L52&gt;40,"AD",IF(L52&gt;30,"A",IF(L52&gt;20,"B","C")))</f>
        <v>C</v>
      </c>
      <c r="N52" s="60"/>
      <c r="O52" s="2"/>
      <c r="P52" s="1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"/>
      <c r="B53" s="2"/>
      <c r="C53" s="60"/>
      <c r="D53" s="23" t="s">
        <v>62</v>
      </c>
      <c r="E53" s="2"/>
      <c r="F53" s="24"/>
      <c r="G53" s="24" t="str">
        <f>IF(F53&lt;=0,"AD",IF(F53&lt;5,"A",IF(F53&lt;10,"B","C")))</f>
        <v>AD</v>
      </c>
      <c r="H53" s="24"/>
      <c r="I53" s="24" t="str">
        <f>IF(H53&lt;=0,"AD",IF(H53&lt;5,"A",IF(H53&lt;10,"B","C")))</f>
        <v>AD</v>
      </c>
      <c r="J53" s="24"/>
      <c r="K53" s="24" t="str">
        <f>IF(J53&lt;=0,"AD",IF(J53&lt;5,"A",IF(J53&lt;10,"B","C")))</f>
        <v>AD</v>
      </c>
      <c r="L53" s="24"/>
      <c r="M53" s="24" t="str">
        <f>IF(L53&lt;=0,"AD",IF(L53&lt;5,"A",IF(L53&lt;10,"B","C")))</f>
        <v>AD</v>
      </c>
      <c r="N53" s="60"/>
      <c r="O53" s="2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60"/>
      <c r="D54" s="23" t="s">
        <v>63</v>
      </c>
      <c r="E54" s="2"/>
      <c r="F54" s="24"/>
      <c r="G54" s="24" t="str">
        <f t="shared" ref="G54:G55" si="23">IF(F54&lt;=0,"AD",IF(F54&lt;=3,"A",IF(F54&lt;=5,"B",IF(F54&gt;5,"C"))))</f>
        <v>AD</v>
      </c>
      <c r="H54" s="24"/>
      <c r="I54" s="24" t="str">
        <f t="shared" ref="I54:I55" si="24">IF(H54&lt;=0,"AD",IF(H54&lt;=3,"A",IF(H54&lt;=5,"B",IF(H54&gt;5,"C"))))</f>
        <v>AD</v>
      </c>
      <c r="J54" s="24"/>
      <c r="K54" s="24" t="str">
        <f t="shared" ref="K54:K55" si="25">IF(J54&lt;=0,"AD",IF(J54&lt;=3,"A",IF(J54&lt;=5,"B",IF(J54&gt;5,"C"))))</f>
        <v>AD</v>
      </c>
      <c r="L54" s="24"/>
      <c r="M54" s="24" t="str">
        <f t="shared" ref="M54:M55" si="26">IF(L54&lt;=0,"AD",IF(L54&lt;=3,"A",IF(L54&lt;=5,"B",IF(L54&gt;5,"C"))))</f>
        <v>AD</v>
      </c>
      <c r="N54" s="60"/>
      <c r="O54" s="2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61"/>
      <c r="D55" s="23" t="s">
        <v>64</v>
      </c>
      <c r="E55" s="2"/>
      <c r="F55" s="24"/>
      <c r="G55" s="24" t="str">
        <f t="shared" si="23"/>
        <v>AD</v>
      </c>
      <c r="H55" s="24"/>
      <c r="I55" s="24" t="str">
        <f t="shared" si="24"/>
        <v>AD</v>
      </c>
      <c r="J55" s="24"/>
      <c r="K55" s="24" t="str">
        <f t="shared" si="25"/>
        <v>AD</v>
      </c>
      <c r="L55" s="24"/>
      <c r="M55" s="24" t="str">
        <f t="shared" si="26"/>
        <v>AD</v>
      </c>
      <c r="N55" s="61"/>
      <c r="O55" s="2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6"/>
      <c r="O56" s="2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1"/>
      <c r="B57" s="2"/>
      <c r="C57" s="68" t="s">
        <v>65</v>
      </c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48"/>
      <c r="O57" s="11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7.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6"/>
      <c r="O58" s="2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" customHeight="1">
      <c r="A59" s="1"/>
      <c r="B59" s="2"/>
      <c r="C59" s="45" t="s">
        <v>39</v>
      </c>
      <c r="D59" s="69"/>
      <c r="E59" s="70"/>
      <c r="F59" s="70"/>
      <c r="G59" s="70"/>
      <c r="H59" s="70"/>
      <c r="I59" s="70"/>
      <c r="J59" s="70"/>
      <c r="K59" s="70"/>
      <c r="L59" s="70"/>
      <c r="M59" s="70"/>
      <c r="N59" s="71"/>
      <c r="O59" s="2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6" customHeight="1">
      <c r="A60" s="1"/>
      <c r="B60" s="2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6"/>
      <c r="O60" s="2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1"/>
      <c r="B61" s="2"/>
      <c r="C61" s="45" t="s">
        <v>40</v>
      </c>
      <c r="D61" s="69"/>
      <c r="E61" s="70"/>
      <c r="F61" s="70"/>
      <c r="G61" s="70"/>
      <c r="H61" s="70"/>
      <c r="I61" s="70"/>
      <c r="J61" s="70"/>
      <c r="K61" s="70"/>
      <c r="L61" s="70"/>
      <c r="M61" s="70"/>
      <c r="N61" s="71"/>
      <c r="O61" s="2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6" customHeight="1">
      <c r="A62" s="1"/>
      <c r="B62" s="2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6"/>
      <c r="O62" s="2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1"/>
      <c r="B63" s="2"/>
      <c r="C63" s="45" t="s">
        <v>41</v>
      </c>
      <c r="D63" s="69"/>
      <c r="E63" s="70"/>
      <c r="F63" s="70"/>
      <c r="G63" s="70"/>
      <c r="H63" s="70"/>
      <c r="I63" s="70"/>
      <c r="J63" s="70"/>
      <c r="K63" s="70"/>
      <c r="L63" s="70"/>
      <c r="M63" s="70"/>
      <c r="N63" s="71"/>
      <c r="O63" s="2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6" customHeight="1">
      <c r="A64" s="1"/>
      <c r="B64" s="2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6"/>
      <c r="O64" s="2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1"/>
      <c r="B65" s="2"/>
      <c r="C65" s="45" t="s">
        <v>42</v>
      </c>
      <c r="D65" s="69"/>
      <c r="E65" s="70"/>
      <c r="F65" s="70"/>
      <c r="G65" s="70"/>
      <c r="H65" s="70"/>
      <c r="I65" s="70"/>
      <c r="J65" s="70"/>
      <c r="K65" s="70"/>
      <c r="L65" s="70"/>
      <c r="M65" s="70"/>
      <c r="N65" s="71"/>
      <c r="O65" s="2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0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6"/>
      <c r="O66" s="2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1"/>
      <c r="B67" s="2"/>
      <c r="C67" s="2"/>
      <c r="D67" s="67" t="s">
        <v>66</v>
      </c>
      <c r="E67" s="67"/>
      <c r="F67" s="67"/>
      <c r="G67" s="67"/>
      <c r="H67" s="67"/>
      <c r="I67" s="67"/>
      <c r="J67" s="67"/>
      <c r="K67" s="67"/>
      <c r="L67" s="67"/>
      <c r="M67" s="67"/>
      <c r="N67" s="5"/>
      <c r="O67" s="2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1"/>
      <c r="B68" s="2"/>
      <c r="C68" s="2"/>
      <c r="D68" s="51" t="s">
        <v>67</v>
      </c>
      <c r="E68" s="51"/>
      <c r="F68" s="51"/>
      <c r="G68" s="51"/>
      <c r="H68" s="51"/>
      <c r="I68" s="51"/>
      <c r="J68" s="51"/>
      <c r="K68" s="51"/>
      <c r="L68" s="51"/>
      <c r="M68" s="51"/>
      <c r="N68" s="5"/>
      <c r="O68" s="2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6"/>
      <c r="O69" s="2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6"/>
      <c r="O70" s="2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6"/>
      <c r="O71" s="2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6"/>
      <c r="O72" s="2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6"/>
      <c r="O73" s="2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4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4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4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4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4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2:26" ht="1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2:26" ht="1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4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2:26" ht="1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2:26" ht="1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4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2:26" ht="1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4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2:26" ht="1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4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2:26" ht="1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4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2:26" ht="1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4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2:26" ht="1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4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2:26" ht="1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4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2:26" ht="1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2:26" ht="1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4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2:26" ht="1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4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2:26" ht="1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4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2:26" ht="1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4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2:26" ht="1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4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2:26" ht="1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4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2:26" ht="1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4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2:26" ht="1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4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2:26" ht="1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4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2:26" ht="1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4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2:26" ht="1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4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2:26" ht="1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4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2:26" ht="1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4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2:26" ht="1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4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6" ht="1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4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2:26" ht="1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4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2:26" ht="1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4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2:26" ht="1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4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2:26" ht="1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4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2:26" ht="1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4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2:26" ht="1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4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ht="1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4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ht="1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4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ht="1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4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ht="1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4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ht="1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4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ht="1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4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ht="1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4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ht="1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4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ht="1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4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ht="1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4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ht="1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4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ht="1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4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2:26" ht="1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4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2:26" ht="1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4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2:26" ht="1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4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2:26" ht="1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4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ht="1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4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ht="1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4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ht="1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4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ht="1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4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ht="1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4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ht="1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4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ht="1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4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ht="1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4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ht="1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4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ht="1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4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ht="1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4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ht="1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4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ht="1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4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ht="1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4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ht="1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4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ht="1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4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ht="1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4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ht="1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4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ht="1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4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ht="1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4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2:26" ht="1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4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2:26" ht="1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4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2:26" ht="1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4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2:26" ht="1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4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2:26" ht="1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4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2:26" ht="1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4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2:26" ht="1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4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2:26" ht="1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4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2:26" ht="1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4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2:26" ht="1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4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2:26" ht="1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4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2:26" ht="1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4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2:26" ht="1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4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2:26" ht="1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4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2:26" ht="1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4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2:26" ht="1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4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2:26" ht="1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4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2:26" ht="1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4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2:26" ht="1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4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2:26" ht="1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4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2:26" ht="1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4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2:26" ht="1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4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2:26" ht="1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4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2:26" ht="1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4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2:26" ht="1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4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2:26" ht="1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4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2:26" ht="1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4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2:26" ht="1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4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2:26" ht="1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4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2:26" ht="1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4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2:26" ht="1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4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2:26" ht="1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4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2:26" ht="1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4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2:26" ht="1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4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2:26" ht="1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4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2:26" ht="1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4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2:26" ht="1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4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2:26" ht="1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4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2:26" ht="1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4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2:26" ht="1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4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2:26" ht="1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4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2:26" ht="1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4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2:26" ht="1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4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2:26" ht="1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4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2:26" ht="1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4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2:26" ht="1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4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2:26" ht="1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4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2:26" ht="1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4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2:26" ht="1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4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2:26" ht="1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4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2:26" ht="1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4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2:26" ht="1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4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2:26" ht="1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4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2:26" ht="1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4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2:26" ht="1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4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2:26" ht="1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4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2:26" ht="1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4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2:26" ht="1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4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2:26" ht="1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4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2:26" ht="1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4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2:26" ht="1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4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2:26" ht="1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4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2:26" ht="1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2:26" ht="1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2:26" ht="1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4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2:26" ht="1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4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2:26" ht="1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4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2:26" ht="1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4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2:26" ht="1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4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2:26" ht="1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4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2:26" ht="1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4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2:26" ht="1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4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2:26" ht="1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4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2:26" ht="1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4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2:26" ht="1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4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2:26" ht="1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4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2:26" ht="1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4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2:26" ht="1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4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2:26" ht="1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4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2:26" ht="1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4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2:26" ht="1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4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2:26" ht="1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4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2:26" ht="1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4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2:26" ht="1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4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2:26" ht="1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4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2:26" ht="1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4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2:26" ht="1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4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2:26" ht="1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4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2:26" ht="1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4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2:26" ht="1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4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2:26" ht="1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4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2:26" ht="1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4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2:26" ht="1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4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2:26" ht="1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4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2:26" ht="1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4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ht="1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4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2:26" ht="1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4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2:26" ht="1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4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2:26" ht="1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4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2:26" ht="1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4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2:26" ht="1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4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2:26" ht="1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4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2:26" ht="1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4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2:26" ht="1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4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2:26" ht="1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4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2:26" ht="1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4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2:26" ht="1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4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2:26" ht="1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4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2:26" ht="1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4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2:26" ht="1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4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2:26" ht="1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4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2:26" ht="1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4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2:26" ht="1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4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2:26" ht="1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4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2:26" ht="1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4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2:26" ht="1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4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2:26" ht="1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2:26" ht="15.75" customHeight="1"/>
    <row r="267" spans="2:26" ht="15.75" customHeight="1"/>
    <row r="268" spans="2:26" ht="15.75" customHeight="1"/>
    <row r="269" spans="2:26" ht="15.75" customHeight="1"/>
    <row r="270" spans="2:26" ht="15.75" customHeight="1"/>
    <row r="271" spans="2:26" ht="15.75" customHeight="1"/>
    <row r="272" spans="2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D67:M67"/>
    <mergeCell ref="H49:I49"/>
    <mergeCell ref="J49:K49"/>
    <mergeCell ref="L49:M49"/>
    <mergeCell ref="F51:G51"/>
    <mergeCell ref="H51:I51"/>
    <mergeCell ref="J51:K51"/>
    <mergeCell ref="L51:M51"/>
    <mergeCell ref="C57:N57"/>
    <mergeCell ref="D59:N59"/>
    <mergeCell ref="D61:N61"/>
    <mergeCell ref="D63:N63"/>
    <mergeCell ref="D65:N65"/>
    <mergeCell ref="L26:M26"/>
    <mergeCell ref="C28:N28"/>
    <mergeCell ref="N30:N55"/>
    <mergeCell ref="F34:G34"/>
    <mergeCell ref="H34:I34"/>
    <mergeCell ref="J34:K34"/>
    <mergeCell ref="L34:M34"/>
    <mergeCell ref="F40:G40"/>
    <mergeCell ref="H40:I40"/>
    <mergeCell ref="J40:K40"/>
    <mergeCell ref="L40:M40"/>
    <mergeCell ref="F49:G49"/>
    <mergeCell ref="C30:C55"/>
    <mergeCell ref="F30:G30"/>
    <mergeCell ref="H30:I30"/>
    <mergeCell ref="J30:K30"/>
    <mergeCell ref="L30:M30"/>
    <mergeCell ref="C4:F4"/>
    <mergeCell ref="G4:J4"/>
    <mergeCell ref="F6:H6"/>
    <mergeCell ref="J6:K6"/>
    <mergeCell ref="M6:N6"/>
    <mergeCell ref="F8:G8"/>
    <mergeCell ref="H8:I8"/>
    <mergeCell ref="J8:K8"/>
    <mergeCell ref="L8:M8"/>
    <mergeCell ref="D68:M68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</mergeCells>
  <conditionalFormatting sqref="F11:N15">
    <cfRule type="cellIs" dxfId="55" priority="1" operator="lessThan">
      <formula>11</formula>
    </cfRule>
  </conditionalFormatting>
  <conditionalFormatting sqref="F26">
    <cfRule type="cellIs" dxfId="54" priority="2" operator="lessThan">
      <formula>11</formula>
    </cfRule>
  </conditionalFormatting>
  <conditionalFormatting sqref="N26">
    <cfRule type="cellIs" dxfId="53" priority="3" operator="lessThan">
      <formula>11</formula>
    </cfRule>
  </conditionalFormatting>
  <conditionalFormatting sqref="F18:G18 F20:G20 I18 I20 K18 K20 M18:N18 M20:N20">
    <cfRule type="cellIs" dxfId="52" priority="4" operator="lessThan">
      <formula>11</formula>
    </cfRule>
  </conditionalFormatting>
  <conditionalFormatting sqref="F21:G21 I21 K21 M21:N21">
    <cfRule type="cellIs" dxfId="51" priority="5" operator="lessThan">
      <formula>11</formula>
    </cfRule>
  </conditionalFormatting>
  <conditionalFormatting sqref="F22:G22 I22 K22 M22:N22">
    <cfRule type="cellIs" dxfId="50" priority="6" operator="lessThan">
      <formula>11</formula>
    </cfRule>
  </conditionalFormatting>
  <conditionalFormatting sqref="F19:G19 I19 K19 M19:N19">
    <cfRule type="cellIs" dxfId="49" priority="7" operator="lessThan">
      <formula>11</formula>
    </cfRule>
  </conditionalFormatting>
  <conditionalFormatting sqref="H26">
    <cfRule type="cellIs" dxfId="48" priority="8" operator="lessThan">
      <formula>11</formula>
    </cfRule>
  </conditionalFormatting>
  <conditionalFormatting sqref="J26">
    <cfRule type="cellIs" dxfId="47" priority="9" operator="lessThan">
      <formula>11</formula>
    </cfRule>
  </conditionalFormatting>
  <conditionalFormatting sqref="L26">
    <cfRule type="cellIs" dxfId="46" priority="10" operator="lessThan">
      <formula>11</formula>
    </cfRule>
  </conditionalFormatting>
  <conditionalFormatting sqref="H18 H20">
    <cfRule type="cellIs" dxfId="45" priority="11" operator="lessThan">
      <formula>11</formula>
    </cfRule>
  </conditionalFormatting>
  <conditionalFormatting sqref="H21">
    <cfRule type="cellIs" dxfId="44" priority="12" operator="lessThan">
      <formula>11</formula>
    </cfRule>
  </conditionalFormatting>
  <conditionalFormatting sqref="H22">
    <cfRule type="cellIs" dxfId="43" priority="13" operator="lessThan">
      <formula>11</formula>
    </cfRule>
  </conditionalFormatting>
  <conditionalFormatting sqref="H19">
    <cfRule type="cellIs" dxfId="42" priority="14" operator="lessThan">
      <formula>11</formula>
    </cfRule>
  </conditionalFormatting>
  <conditionalFormatting sqref="J18 J20">
    <cfRule type="cellIs" dxfId="41" priority="15" operator="lessThan">
      <formula>11</formula>
    </cfRule>
  </conditionalFormatting>
  <conditionalFormatting sqref="J21">
    <cfRule type="cellIs" dxfId="40" priority="16" operator="lessThan">
      <formula>11</formula>
    </cfRule>
  </conditionalFormatting>
  <conditionalFormatting sqref="J22">
    <cfRule type="cellIs" dxfId="39" priority="17" operator="lessThan">
      <formula>11</formula>
    </cfRule>
  </conditionalFormatting>
  <conditionalFormatting sqref="J19">
    <cfRule type="cellIs" dxfId="38" priority="18" operator="lessThan">
      <formula>11</formula>
    </cfRule>
  </conditionalFormatting>
  <conditionalFormatting sqref="L18 L20">
    <cfRule type="cellIs" dxfId="37" priority="19" operator="lessThan">
      <formula>11</formula>
    </cfRule>
  </conditionalFormatting>
  <conditionalFormatting sqref="L21">
    <cfRule type="cellIs" dxfId="36" priority="20" operator="lessThan">
      <formula>11</formula>
    </cfRule>
  </conditionalFormatting>
  <conditionalFormatting sqref="L22">
    <cfRule type="cellIs" dxfId="35" priority="21" operator="lessThan">
      <formula>11</formula>
    </cfRule>
  </conditionalFormatting>
  <conditionalFormatting sqref="L19">
    <cfRule type="cellIs" dxfId="34" priority="22" operator="lessThan">
      <formula>11</formula>
    </cfRule>
  </conditionalFormatting>
  <conditionalFormatting sqref="F31:M32">
    <cfRule type="cellIs" dxfId="33" priority="23" operator="lessThan">
      <formula>11</formula>
    </cfRule>
  </conditionalFormatting>
  <conditionalFormatting sqref="K50">
    <cfRule type="cellIs" dxfId="32" priority="24" operator="lessThan">
      <formula>11</formula>
    </cfRule>
  </conditionalFormatting>
  <conditionalFormatting sqref="M50">
    <cfRule type="cellIs" dxfId="31" priority="25" operator="lessThan">
      <formula>11</formula>
    </cfRule>
  </conditionalFormatting>
  <conditionalFormatting sqref="F35:G37 I35:I37 K35:K37 M35:M37">
    <cfRule type="cellIs" dxfId="30" priority="26" operator="lessThan">
      <formula>11</formula>
    </cfRule>
  </conditionalFormatting>
  <conditionalFormatting sqref="F41:G47">
    <cfRule type="cellIs" dxfId="29" priority="27" operator="lessThan">
      <formula>11</formula>
    </cfRule>
  </conditionalFormatting>
  <conditionalFormatting sqref="I41:I47">
    <cfRule type="cellIs" dxfId="28" priority="28" operator="lessThan">
      <formula>11</formula>
    </cfRule>
  </conditionalFormatting>
  <conditionalFormatting sqref="K41:K47">
    <cfRule type="cellIs" dxfId="27" priority="29" operator="lessThan">
      <formula>11</formula>
    </cfRule>
  </conditionalFormatting>
  <conditionalFormatting sqref="M41:M47">
    <cfRule type="cellIs" dxfId="26" priority="30" operator="lessThan">
      <formula>11</formula>
    </cfRule>
  </conditionalFormatting>
  <conditionalFormatting sqref="F38:G38 I38 K38 M38">
    <cfRule type="cellIs" dxfId="25" priority="31" operator="lessThan">
      <formula>11</formula>
    </cfRule>
  </conditionalFormatting>
  <conditionalFormatting sqref="H41:H47">
    <cfRule type="cellIs" dxfId="24" priority="32" operator="lessThan">
      <formula>11</formula>
    </cfRule>
  </conditionalFormatting>
  <conditionalFormatting sqref="J41:J47">
    <cfRule type="cellIs" dxfId="23" priority="33" operator="lessThan">
      <formula>11</formula>
    </cfRule>
  </conditionalFormatting>
  <conditionalFormatting sqref="L41:L47">
    <cfRule type="cellIs" dxfId="22" priority="34" operator="lessThan">
      <formula>11</formula>
    </cfRule>
  </conditionalFormatting>
  <conditionalFormatting sqref="H35:H37">
    <cfRule type="cellIs" dxfId="21" priority="35" operator="lessThan">
      <formula>11</formula>
    </cfRule>
  </conditionalFormatting>
  <conditionalFormatting sqref="H38">
    <cfRule type="cellIs" dxfId="20" priority="36" operator="lessThan">
      <formula>11</formula>
    </cfRule>
  </conditionalFormatting>
  <conditionalFormatting sqref="J35:J37">
    <cfRule type="cellIs" dxfId="19" priority="37" operator="lessThan">
      <formula>11</formula>
    </cfRule>
  </conditionalFormatting>
  <conditionalFormatting sqref="J38">
    <cfRule type="cellIs" dxfId="18" priority="38" operator="lessThan">
      <formula>11</formula>
    </cfRule>
  </conditionalFormatting>
  <conditionalFormatting sqref="L35:L37">
    <cfRule type="cellIs" dxfId="17" priority="39" operator="lessThan">
      <formula>11</formula>
    </cfRule>
  </conditionalFormatting>
  <conditionalFormatting sqref="L38">
    <cfRule type="cellIs" dxfId="16" priority="40" operator="lessThan">
      <formula>11</formula>
    </cfRule>
  </conditionalFormatting>
  <conditionalFormatting sqref="F52:F54">
    <cfRule type="cellIs" dxfId="15" priority="41" operator="lessThan">
      <formula>11</formula>
    </cfRule>
  </conditionalFormatting>
  <conditionalFormatting sqref="H52:H54">
    <cfRule type="cellIs" dxfId="14" priority="42" operator="lessThan">
      <formula>11</formula>
    </cfRule>
  </conditionalFormatting>
  <conditionalFormatting sqref="J52:J54">
    <cfRule type="cellIs" dxfId="13" priority="43" operator="lessThan">
      <formula>11</formula>
    </cfRule>
  </conditionalFormatting>
  <conditionalFormatting sqref="L55">
    <cfRule type="cellIs" dxfId="12" priority="44" operator="lessThan">
      <formula>11</formula>
    </cfRule>
  </conditionalFormatting>
  <conditionalFormatting sqref="L52:L54">
    <cfRule type="cellIs" dxfId="11" priority="45" operator="lessThan">
      <formula>11</formula>
    </cfRule>
  </conditionalFormatting>
  <conditionalFormatting sqref="J55">
    <cfRule type="cellIs" dxfId="10" priority="46" operator="lessThan">
      <formula>11</formula>
    </cfRule>
  </conditionalFormatting>
  <conditionalFormatting sqref="H55">
    <cfRule type="cellIs" dxfId="9" priority="47" operator="lessThan">
      <formula>11</formula>
    </cfRule>
  </conditionalFormatting>
  <conditionalFormatting sqref="F55">
    <cfRule type="cellIs" dxfId="8" priority="48" operator="lessThan">
      <formula>11</formula>
    </cfRule>
  </conditionalFormatting>
  <conditionalFormatting sqref="G55">
    <cfRule type="cellIs" dxfId="7" priority="49" operator="lessThan">
      <formula>11</formula>
    </cfRule>
  </conditionalFormatting>
  <conditionalFormatting sqref="G52:G54">
    <cfRule type="cellIs" dxfId="6" priority="50" operator="lessThan">
      <formula>11</formula>
    </cfRule>
  </conditionalFormatting>
  <conditionalFormatting sqref="I55">
    <cfRule type="cellIs" dxfId="5" priority="51" operator="lessThan">
      <formula>11</formula>
    </cfRule>
  </conditionalFormatting>
  <conditionalFormatting sqref="I52:I54">
    <cfRule type="cellIs" dxfId="4" priority="52" operator="lessThan">
      <formula>11</formula>
    </cfRule>
  </conditionalFormatting>
  <conditionalFormatting sqref="K55">
    <cfRule type="cellIs" dxfId="3" priority="53" operator="lessThan">
      <formula>11</formula>
    </cfRule>
  </conditionalFormatting>
  <conditionalFormatting sqref="K52:K54">
    <cfRule type="cellIs" dxfId="2" priority="54" operator="lessThan">
      <formula>11</formula>
    </cfRule>
  </conditionalFormatting>
  <conditionalFormatting sqref="M55">
    <cfRule type="cellIs" dxfId="1" priority="55" operator="lessThan">
      <formula>11</formula>
    </cfRule>
  </conditionalFormatting>
  <conditionalFormatting sqref="M52:M54">
    <cfRule type="cellIs" dxfId="0" priority="56" operator="lessThan">
      <formula>11</formula>
    </cfRule>
  </conditionalFormatting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dcterms:created xsi:type="dcterms:W3CDTF">2015-06-05T18:19:34Z</dcterms:created>
  <dcterms:modified xsi:type="dcterms:W3CDTF">2026-08-31T23:56:09Z</dcterms:modified>
</cp:coreProperties>
</file>