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f\Documents\template_django\sistema_academico\templates_archivos\"/>
    </mc:Choice>
  </mc:AlternateContent>
  <xr:revisionPtr revIDLastSave="0" documentId="13_ncr:1_{5017E9FC-6D40-4230-B233-37B34021D1B4}" xr6:coauthVersionLast="47" xr6:coauthVersionMax="47" xr10:uidLastSave="{00000000-0000-0000-0000-000000000000}"/>
  <bookViews>
    <workbookView xWindow="4200" yWindow="1230" windowWidth="19335" windowHeight="18090" xr2:uid="{27FEE935-E473-4187-A9F3-BC25F281E2B6}"/>
  </bookViews>
  <sheets>
    <sheet name="Libreta de 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6" i="1" l="1"/>
  <c r="K66" i="1"/>
  <c r="I66" i="1"/>
  <c r="F66" i="1"/>
  <c r="G66" i="1" s="1"/>
  <c r="M65" i="1"/>
  <c r="K65" i="1"/>
  <c r="I65" i="1"/>
  <c r="F65" i="1"/>
  <c r="G65" i="1" s="1"/>
  <c r="M64" i="1"/>
  <c r="K64" i="1"/>
  <c r="I64" i="1"/>
  <c r="F64" i="1"/>
  <c r="G64" i="1" s="1"/>
  <c r="M63" i="1"/>
  <c r="K63" i="1"/>
  <c r="I63" i="1"/>
  <c r="F63" i="1"/>
  <c r="G63" i="1" s="1"/>
  <c r="M60" i="1"/>
  <c r="K60" i="1"/>
  <c r="I60" i="1"/>
  <c r="F60" i="1"/>
  <c r="G60" i="1" s="1"/>
  <c r="L57" i="1"/>
  <c r="M57" i="1" s="1"/>
  <c r="J57" i="1"/>
  <c r="K57" i="1" s="1"/>
  <c r="H57" i="1"/>
  <c r="I57" i="1" s="1"/>
  <c r="F57" i="1"/>
  <c r="G57" i="1" s="1"/>
  <c r="L56" i="1"/>
  <c r="M56" i="1" s="1"/>
  <c r="J56" i="1"/>
  <c r="K56" i="1" s="1"/>
  <c r="H56" i="1"/>
  <c r="I56" i="1" s="1"/>
  <c r="F56" i="1"/>
  <c r="G56" i="1" s="1"/>
  <c r="L55" i="1"/>
  <c r="M55" i="1" s="1"/>
  <c r="J55" i="1"/>
  <c r="K55" i="1" s="1"/>
  <c r="H55" i="1"/>
  <c r="I55" i="1" s="1"/>
  <c r="F55" i="1"/>
  <c r="G55" i="1" s="1"/>
  <c r="L54" i="1"/>
  <c r="M54" i="1" s="1"/>
  <c r="J54" i="1"/>
  <c r="K54" i="1" s="1"/>
  <c r="H54" i="1"/>
  <c r="I54" i="1" s="1"/>
  <c r="F54" i="1"/>
  <c r="G54" i="1" s="1"/>
  <c r="L53" i="1"/>
  <c r="M53" i="1" s="1"/>
  <c r="J53" i="1"/>
  <c r="K53" i="1" s="1"/>
  <c r="H53" i="1"/>
  <c r="I53" i="1" s="1"/>
  <c r="F53" i="1"/>
  <c r="G53" i="1" s="1"/>
  <c r="L52" i="1"/>
  <c r="M52" i="1" s="1"/>
  <c r="J52" i="1"/>
  <c r="K52" i="1" s="1"/>
  <c r="H52" i="1"/>
  <c r="I52" i="1" s="1"/>
  <c r="F52" i="1"/>
  <c r="G52" i="1" s="1"/>
  <c r="L51" i="1"/>
  <c r="M51" i="1" s="1"/>
  <c r="J51" i="1"/>
  <c r="K51" i="1" s="1"/>
  <c r="H51" i="1"/>
  <c r="I51" i="1" s="1"/>
  <c r="F51" i="1"/>
  <c r="G51" i="1" s="1"/>
  <c r="M48" i="1"/>
  <c r="K48" i="1"/>
  <c r="I48" i="1"/>
  <c r="F48" i="1"/>
  <c r="G48" i="1" s="1"/>
  <c r="M47" i="1"/>
  <c r="K47" i="1"/>
  <c r="I47" i="1"/>
  <c r="F47" i="1"/>
  <c r="G47" i="1" s="1"/>
  <c r="M46" i="1"/>
  <c r="K46" i="1"/>
  <c r="I46" i="1"/>
  <c r="F46" i="1"/>
  <c r="G46" i="1" s="1"/>
  <c r="M45" i="1"/>
  <c r="K45" i="1"/>
  <c r="I45" i="1"/>
  <c r="F45" i="1"/>
  <c r="G45" i="1" s="1"/>
  <c r="M42" i="1"/>
  <c r="K42" i="1"/>
  <c r="I42" i="1"/>
  <c r="F42" i="1"/>
  <c r="G42" i="1" s="1"/>
  <c r="M41" i="1"/>
  <c r="K41" i="1"/>
  <c r="I41" i="1"/>
  <c r="F41" i="1"/>
  <c r="G41" i="1" s="1"/>
  <c r="M40" i="1"/>
  <c r="K40" i="1"/>
  <c r="I40" i="1"/>
  <c r="F40" i="1"/>
  <c r="G40" i="1" s="1"/>
  <c r="M37" i="1"/>
  <c r="K37" i="1"/>
  <c r="I37" i="1"/>
  <c r="F37" i="1"/>
  <c r="G37" i="1" s="1"/>
  <c r="M36" i="1"/>
  <c r="K36" i="1"/>
  <c r="I36" i="1"/>
  <c r="F36" i="1"/>
  <c r="G36" i="1" s="1"/>
  <c r="M33" i="1"/>
  <c r="K33" i="1"/>
  <c r="I33" i="1"/>
  <c r="G33" i="1"/>
  <c r="M32" i="1"/>
  <c r="K32" i="1"/>
  <c r="I32" i="1"/>
  <c r="G32" i="1"/>
  <c r="M31" i="1"/>
  <c r="K31" i="1"/>
  <c r="I31" i="1"/>
  <c r="G31" i="1"/>
  <c r="M30" i="1"/>
  <c r="K30" i="1"/>
  <c r="I30" i="1"/>
  <c r="G30" i="1"/>
  <c r="M29" i="1"/>
  <c r="K29" i="1"/>
  <c r="I29" i="1"/>
  <c r="G29" i="1"/>
  <c r="M20" i="1"/>
  <c r="I20" i="1"/>
  <c r="G20" i="1"/>
  <c r="K19" i="1"/>
  <c r="I19" i="1"/>
  <c r="G19" i="1"/>
  <c r="M18" i="1"/>
  <c r="K18" i="1"/>
  <c r="I18" i="1"/>
  <c r="G18" i="1"/>
  <c r="M17" i="1"/>
  <c r="K17" i="1"/>
  <c r="I17" i="1"/>
  <c r="G17" i="1"/>
  <c r="M16" i="1"/>
  <c r="I16" i="1"/>
  <c r="G16" i="1"/>
  <c r="M15" i="1"/>
  <c r="K15" i="1"/>
  <c r="I15" i="1"/>
  <c r="G15" i="1"/>
  <c r="M14" i="1"/>
  <c r="K14" i="1"/>
  <c r="I14" i="1"/>
  <c r="G14" i="1"/>
  <c r="M13" i="1"/>
  <c r="K13" i="1"/>
  <c r="I13" i="1"/>
  <c r="G13" i="1"/>
  <c r="M12" i="1"/>
  <c r="I12" i="1"/>
  <c r="G12" i="1"/>
  <c r="M11" i="1"/>
  <c r="K11" i="1"/>
  <c r="I11" i="1"/>
  <c r="G11" i="1"/>
  <c r="N22" i="1" l="1"/>
  <c r="N23" i="1"/>
  <c r="N19" i="1"/>
  <c r="N15" i="1"/>
  <c r="M19" i="1"/>
  <c r="N11" i="1"/>
  <c r="N16" i="1"/>
  <c r="N24" i="1"/>
  <c r="N20" i="1"/>
  <c r="N12" i="1"/>
  <c r="N18" i="1"/>
  <c r="N14" i="1"/>
  <c r="K12" i="1"/>
  <c r="N13" i="1"/>
  <c r="K16" i="1"/>
  <c r="N17" i="1"/>
  <c r="K20" i="1"/>
</calcChain>
</file>

<file path=xl/sharedStrings.xml><?xml version="1.0" encoding="utf-8"?>
<sst xmlns="http://schemas.openxmlformats.org/spreadsheetml/2006/main" count="113" uniqueCount="78">
  <si>
    <t>Emprendedor (a)</t>
  </si>
  <si>
    <t>Código</t>
  </si>
  <si>
    <t>Aula</t>
  </si>
  <si>
    <t>1° Bim.</t>
  </si>
  <si>
    <t>2° Bim.</t>
  </si>
  <si>
    <t>3° Bim.</t>
  </si>
  <si>
    <t>4° Bim.</t>
  </si>
  <si>
    <t>Anual</t>
  </si>
  <si>
    <t>Áreas</t>
  </si>
  <si>
    <t>Cuant.</t>
  </si>
  <si>
    <t>Cuali.</t>
  </si>
  <si>
    <t>Prom. Final</t>
  </si>
  <si>
    <t>Comunicación</t>
  </si>
  <si>
    <t>Matemática</t>
  </si>
  <si>
    <t>Inglés</t>
  </si>
  <si>
    <t>Puntaje</t>
  </si>
  <si>
    <t>Promedio</t>
  </si>
  <si>
    <t>Orden de Mérito</t>
  </si>
  <si>
    <t>ASPECTOS ESPECÍFICOS</t>
  </si>
  <si>
    <t>FORMAMOS</t>
  </si>
  <si>
    <t>MATEMÁTICA</t>
  </si>
  <si>
    <t>1°</t>
  </si>
  <si>
    <t>2°</t>
  </si>
  <si>
    <t>3°</t>
  </si>
  <si>
    <t>4°</t>
  </si>
  <si>
    <t>EMPRENDEDORES</t>
  </si>
  <si>
    <t>Aritmética</t>
  </si>
  <si>
    <t>Álgebra</t>
  </si>
  <si>
    <t>Geometría</t>
  </si>
  <si>
    <t>COMUNICACIÓN</t>
  </si>
  <si>
    <t>Geografía</t>
  </si>
  <si>
    <t>Biología</t>
  </si>
  <si>
    <t>Física</t>
  </si>
  <si>
    <t>CONDUCTA</t>
  </si>
  <si>
    <t>Comportamiento</t>
  </si>
  <si>
    <t>ASISTENCIA</t>
  </si>
  <si>
    <t>Asistencia</t>
  </si>
  <si>
    <t>Inasistencias Justificadas</t>
  </si>
  <si>
    <t>Inasistencias Injustificadas</t>
  </si>
  <si>
    <t>Tardanza</t>
  </si>
  <si>
    <t>___________________                                                                      ___________________                                                                  ___________________</t>
  </si>
  <si>
    <t>SN001</t>
  </si>
  <si>
    <t>Arte, Cultura - Danza</t>
  </si>
  <si>
    <t>SN002</t>
  </si>
  <si>
    <t>Ciencia y Tecnología</t>
  </si>
  <si>
    <t>SN003</t>
  </si>
  <si>
    <t>Ciencias Sociales</t>
  </si>
  <si>
    <t>SN004</t>
  </si>
  <si>
    <t>SN005</t>
  </si>
  <si>
    <t>Desarrollo Personal, Ciudadanía y Cívica - Oratoría</t>
  </si>
  <si>
    <t>SN006</t>
  </si>
  <si>
    <t>Educacion Física</t>
  </si>
  <si>
    <t>SN007</t>
  </si>
  <si>
    <t>Educación para el Trabajo - Computación</t>
  </si>
  <si>
    <t>SN008</t>
  </si>
  <si>
    <t>Educación Religiosa - Psicología</t>
  </si>
  <si>
    <t>SN009</t>
  </si>
  <si>
    <t>SN010</t>
  </si>
  <si>
    <t>Trigonometría</t>
  </si>
  <si>
    <t>Raz. Matemático</t>
  </si>
  <si>
    <t xml:space="preserve">Raz. Verbal </t>
  </si>
  <si>
    <t>Lenguaje</t>
  </si>
  <si>
    <t xml:space="preserve">CIENCIAS SOCIALES </t>
  </si>
  <si>
    <t xml:space="preserve">Historia </t>
  </si>
  <si>
    <t>Economía y Finanzas</t>
  </si>
  <si>
    <t>Gestión Empresarial y Contabilidad</t>
  </si>
  <si>
    <t xml:space="preserve">CIENCIA Y TECNOLOGÍA </t>
  </si>
  <si>
    <t>Química</t>
  </si>
  <si>
    <t>EVALUACIÓN AL PADRE DE FAMILIA</t>
  </si>
  <si>
    <t>Envía puntualmente a su menor hijo(a).</t>
  </si>
  <si>
    <t>Envía correctamente uniformado a su menor hijo(a).</t>
  </si>
  <si>
    <t>Asiste puntualmente a reuniones convocadas por el Tutor.</t>
  </si>
  <si>
    <t>Participa en actividades socioculturales del plantel.</t>
  </si>
  <si>
    <t>Cumple con enviar los materiales solicitados.</t>
  </si>
  <si>
    <t>Apoya en la labor educativa en bienestar de su menor hijo(a).</t>
  </si>
  <si>
    <t>Cumple con responsabilidad sus deberes económicos con el plantel.</t>
  </si>
  <si>
    <t>OBSERVACIONES DEL RELACIONISTA</t>
  </si>
  <si>
    <t xml:space="preserve">       Docente                                                                 Coordinación                                                       Socio (PP. FF.)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</si>
</sst>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Calibri"/>
      <scheme val="minor"/>
    </font>
    <font>
      <b/>
      <sz val="16"/>
      <color theme="0"/>
      <name val="Overlock"/>
    </font>
    <font>
      <sz val="28"/>
      <color theme="0"/>
      <name val="Erica One"/>
    </font>
    <font>
      <b/>
      <sz val="9"/>
      <color theme="1"/>
      <name val="Berlin Sans FB Demi"/>
      <family val="2"/>
    </font>
    <font>
      <sz val="9"/>
      <color rgb="FF00009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00009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1"/>
      <name val="Arial"/>
      <family val="2"/>
    </font>
    <font>
      <sz val="9"/>
      <color theme="0"/>
      <name val="Arial"/>
      <family val="2"/>
    </font>
    <font>
      <b/>
      <sz val="12"/>
      <color theme="0"/>
      <name val="Arial"/>
      <family val="2"/>
    </font>
    <font>
      <sz val="10"/>
      <color rgb="FF000099"/>
      <name val="Arial"/>
      <family val="2"/>
    </font>
    <font>
      <sz val="9"/>
      <color rgb="FF000000"/>
      <name val="Arial"/>
      <family val="2"/>
    </font>
    <font>
      <b/>
      <sz val="14"/>
      <color theme="1"/>
      <name val="Britannic Bold"/>
      <family val="2"/>
    </font>
    <font>
      <sz val="10"/>
      <name val="Britannic Bold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9966"/>
        <bgColor rgb="FFFF9966"/>
      </patternFill>
    </fill>
  </fills>
  <borders count="16">
    <border>
      <left/>
      <right/>
      <top/>
      <bottom/>
      <diagonal/>
    </border>
    <border>
      <left style="thin">
        <color rgb="FFCCC0D9"/>
      </left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rgb="FFCCC0D9"/>
      </left>
      <right/>
      <top style="thin">
        <color rgb="FFCCC0D9"/>
      </top>
      <bottom style="thin">
        <color rgb="FFCCC0D9"/>
      </bottom>
      <diagonal/>
    </border>
    <border>
      <left/>
      <right/>
      <top style="thin">
        <color rgb="FFCCC0D9"/>
      </top>
      <bottom style="thin">
        <color rgb="FFCCC0D9"/>
      </bottom>
      <diagonal/>
    </border>
    <border>
      <left/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E36C09"/>
      </left>
      <right/>
      <top style="thin">
        <color rgb="FFE36C09"/>
      </top>
      <bottom style="thin">
        <color rgb="FFE36C09"/>
      </bottom>
      <diagonal/>
    </border>
    <border>
      <left/>
      <right/>
      <top style="thin">
        <color rgb="FFE36C09"/>
      </top>
      <bottom style="thin">
        <color rgb="FFE36C09"/>
      </bottom>
      <diagonal/>
    </border>
    <border>
      <left/>
      <right style="thin">
        <color rgb="FFE36C09"/>
      </right>
      <top style="thin">
        <color rgb="FFE36C09"/>
      </top>
      <bottom style="thin">
        <color rgb="FFE36C09"/>
      </bottom>
      <diagonal/>
    </border>
    <border>
      <left style="thin">
        <color rgb="FFE36C09"/>
      </left>
      <right style="thin">
        <color rgb="FFE36C09"/>
      </right>
      <top style="thin">
        <color rgb="FFE36C09"/>
      </top>
      <bottom style="thin">
        <color rgb="FFE36C09"/>
      </bottom>
      <diagonal/>
    </border>
    <border>
      <left style="thin">
        <color rgb="FFE36C09"/>
      </left>
      <right style="thin">
        <color rgb="FFE36C09"/>
      </right>
      <top style="thin">
        <color rgb="FFE36C09"/>
      </top>
      <bottom/>
      <diagonal/>
    </border>
    <border>
      <left/>
      <right style="thin">
        <color rgb="FFE36C09"/>
      </right>
      <top style="thin">
        <color rgb="FFE36C09"/>
      </top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E36C09"/>
      </left>
      <right style="thin">
        <color rgb="FFE36C09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5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0" borderId="0" xfId="0" applyFont="1"/>
    <xf numFmtId="0" fontId="18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2" fillId="4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1" fontId="4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textRotation="90"/>
    </xf>
    <xf numFmtId="0" fontId="7" fillId="0" borderId="15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5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20" fillId="0" borderId="7" xfId="0" applyFont="1" applyBorder="1" applyAlignment="1">
      <alignment vertical="center"/>
    </xf>
    <xf numFmtId="0" fontId="20" fillId="0" borderId="8" xfId="0" applyFont="1" applyBorder="1" applyAlignment="1">
      <alignment vertical="center"/>
    </xf>
  </cellXfs>
  <cellStyles count="1">
    <cellStyle name="Normal" xfId="0" builtinId="0"/>
  </cellStyles>
  <dxfs count="45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75F5-636A-4D4C-ABC9-42FA8BE4C666}">
  <sheetPr codeName="Hoja3">
    <tabColor rgb="FFFF0000"/>
    <pageSetUpPr fitToPage="1"/>
  </sheetPr>
  <dimension ref="A1:Z1001"/>
  <sheetViews>
    <sheetView showGridLines="0" tabSelected="1" topLeftCell="A3" zoomScaleNormal="100" workbookViewId="0">
      <selection activeCell="C4" sqref="C4:F4"/>
    </sheetView>
  </sheetViews>
  <sheetFormatPr baseColWidth="10" defaultColWidth="12.5703125" defaultRowHeight="15" customHeight="1"/>
  <cols>
    <col min="1" max="1" width="2.140625" style="1" customWidth="1"/>
    <col min="2" max="2" width="4.140625" style="1" customWidth="1"/>
    <col min="3" max="3" width="8.5703125" style="1" customWidth="1"/>
    <col min="4" max="4" width="60.42578125" style="1" customWidth="1"/>
    <col min="5" max="5" width="1" style="1" customWidth="1"/>
    <col min="6" max="14" width="6.5703125" style="1" customWidth="1"/>
    <col min="15" max="15" width="5.7109375" style="1" customWidth="1"/>
    <col min="16" max="16" width="2.140625" style="1" customWidth="1"/>
    <col min="17" max="26" width="9.28515625" style="1" customWidth="1"/>
    <col min="27" max="16384" width="12.5703125" style="1"/>
  </cols>
  <sheetData>
    <row r="1" spans="1:26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5.75" customHeight="1">
      <c r="A2" s="3"/>
      <c r="B2" s="4"/>
      <c r="C2" s="41"/>
      <c r="D2" s="42"/>
      <c r="E2" s="42"/>
      <c r="F2" s="42"/>
      <c r="G2" s="42"/>
      <c r="H2" s="42"/>
      <c r="I2" s="42"/>
      <c r="J2" s="42"/>
      <c r="K2" s="4"/>
      <c r="L2" s="4"/>
      <c r="M2" s="4"/>
      <c r="N2" s="34"/>
      <c r="O2" s="4"/>
      <c r="P2" s="3"/>
      <c r="Q2" s="7"/>
      <c r="R2" s="7"/>
      <c r="S2" s="4"/>
      <c r="T2" s="4"/>
      <c r="U2" s="4"/>
      <c r="V2" s="4"/>
      <c r="W2" s="4"/>
      <c r="X2" s="4"/>
      <c r="Y2" s="4"/>
      <c r="Z2" s="4"/>
    </row>
    <row r="3" spans="1:26" ht="68.25" customHeight="1">
      <c r="A3" s="3"/>
      <c r="B3" s="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7"/>
      <c r="P3" s="3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7.75" customHeight="1">
      <c r="A4" s="3"/>
      <c r="B4" s="4"/>
      <c r="C4" s="57"/>
      <c r="D4" s="58"/>
      <c r="E4" s="58"/>
      <c r="F4" s="59"/>
      <c r="G4" s="52" t="s">
        <v>0</v>
      </c>
      <c r="H4" s="50"/>
      <c r="I4" s="50"/>
      <c r="J4" s="51"/>
      <c r="K4" s="5"/>
      <c r="L4" s="5"/>
      <c r="M4" s="5"/>
      <c r="N4" s="5"/>
      <c r="O4" s="6"/>
      <c r="P4" s="3"/>
      <c r="Q4" s="7"/>
      <c r="R4" s="7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3"/>
      <c r="B5" s="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7"/>
      <c r="P5" s="3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" customHeight="1">
      <c r="A6" s="3"/>
      <c r="B6" s="4"/>
      <c r="C6" s="9" t="s">
        <v>1</v>
      </c>
      <c r="D6" s="11"/>
      <c r="E6" s="10"/>
      <c r="F6" s="53" t="s">
        <v>2</v>
      </c>
      <c r="G6" s="50"/>
      <c r="H6" s="51"/>
      <c r="I6" s="12"/>
      <c r="J6" s="53"/>
      <c r="K6" s="51"/>
      <c r="L6" s="12"/>
      <c r="M6" s="53"/>
      <c r="N6" s="51"/>
      <c r="O6" s="13"/>
      <c r="P6" s="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8.75" customHeight="1">
      <c r="A7" s="3"/>
      <c r="B7" s="4"/>
      <c r="C7" s="14"/>
      <c r="D7" s="7"/>
      <c r="E7" s="14"/>
      <c r="F7" s="15"/>
      <c r="G7" s="15"/>
      <c r="H7" s="15"/>
      <c r="I7" s="15"/>
      <c r="J7" s="15"/>
      <c r="K7" s="15"/>
      <c r="L7" s="15"/>
      <c r="M7" s="15"/>
      <c r="N7" s="16"/>
      <c r="O7" s="7"/>
      <c r="P7" s="3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>
      <c r="A8" s="3"/>
      <c r="B8" s="4"/>
      <c r="C8" s="14"/>
      <c r="D8" s="7"/>
      <c r="E8" s="14"/>
      <c r="F8" s="53" t="s">
        <v>3</v>
      </c>
      <c r="G8" s="51"/>
      <c r="H8" s="53" t="s">
        <v>4</v>
      </c>
      <c r="I8" s="51"/>
      <c r="J8" s="56" t="s">
        <v>5</v>
      </c>
      <c r="K8" s="50"/>
      <c r="L8" s="53" t="s">
        <v>6</v>
      </c>
      <c r="M8" s="51"/>
      <c r="N8" s="17" t="s">
        <v>7</v>
      </c>
      <c r="O8" s="7"/>
      <c r="P8" s="3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1.25" customHeight="1">
      <c r="A9" s="3"/>
      <c r="B9" s="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6"/>
      <c r="O9" s="7"/>
      <c r="P9" s="3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4.75" customHeight="1">
      <c r="A10" s="3"/>
      <c r="B10" s="4"/>
      <c r="C10" s="17" t="s">
        <v>1</v>
      </c>
      <c r="D10" s="17" t="s">
        <v>8</v>
      </c>
      <c r="E10" s="7"/>
      <c r="F10" s="18" t="s">
        <v>9</v>
      </c>
      <c r="G10" s="18" t="s">
        <v>10</v>
      </c>
      <c r="H10" s="18" t="s">
        <v>9</v>
      </c>
      <c r="I10" s="18" t="s">
        <v>10</v>
      </c>
      <c r="J10" s="18" t="s">
        <v>9</v>
      </c>
      <c r="K10" s="18" t="s">
        <v>10</v>
      </c>
      <c r="L10" s="18" t="s">
        <v>9</v>
      </c>
      <c r="M10" s="18" t="s">
        <v>10</v>
      </c>
      <c r="N10" s="19" t="s">
        <v>11</v>
      </c>
      <c r="O10" s="7"/>
      <c r="P10" s="3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3"/>
      <c r="B11" s="4"/>
      <c r="C11" s="20" t="s">
        <v>41</v>
      </c>
      <c r="D11" s="21" t="s">
        <v>42</v>
      </c>
      <c r="E11" s="7"/>
      <c r="F11" s="22"/>
      <c r="G11" s="22" t="str">
        <f t="shared" ref="G11:G20" si="0">IF(F11&gt;17,"AD",IF(F11&gt;13,"A",IF(F11&gt;10,"B",IF(F11&lt;=10,"C"))))</f>
        <v>C</v>
      </c>
      <c r="H11" s="22"/>
      <c r="I11" s="22" t="str">
        <f t="shared" ref="I11:I20" si="1">IF(H11&gt;17,"AD",IF(H11&gt;13,"A",IF(H11&gt;10,"B",IF(H11&lt;=10,"C"))))</f>
        <v>C</v>
      </c>
      <c r="J11" s="22"/>
      <c r="K11" s="22" t="str">
        <f t="shared" ref="K11:K20" si="2">IF(J11&gt;17,"AD",IF(J11&gt;13,"A",IF(J11&gt;10,"B",IF(J11&lt;=10,"C"))))</f>
        <v>C</v>
      </c>
      <c r="L11" s="22"/>
      <c r="M11" s="22" t="str">
        <f t="shared" ref="M11:M20" si="3">IF(L11&gt;17,"AD",IF(L11&gt;13,"A",IF(L11&gt;10,"B",IF(L11&lt;=10,"C"))))</f>
        <v>C</v>
      </c>
      <c r="N11" s="22" t="str">
        <f t="shared" ref="N11:N20" si="4">IFERROR(ROUND(AVERAGE(L11,J11,H11,F11),0),"-")</f>
        <v>-</v>
      </c>
      <c r="O11" s="7"/>
      <c r="P11" s="3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3"/>
      <c r="B12" s="4"/>
      <c r="C12" s="20" t="s">
        <v>43</v>
      </c>
      <c r="D12" s="21" t="s">
        <v>44</v>
      </c>
      <c r="E12" s="7"/>
      <c r="F12" s="2"/>
      <c r="G12" s="2" t="str">
        <f t="shared" si="0"/>
        <v>C</v>
      </c>
      <c r="H12" s="2"/>
      <c r="I12" s="2" t="str">
        <f t="shared" si="1"/>
        <v>C</v>
      </c>
      <c r="J12" s="2"/>
      <c r="K12" s="2" t="str">
        <f t="shared" si="2"/>
        <v>C</v>
      </c>
      <c r="L12" s="2"/>
      <c r="M12" s="2" t="str">
        <f t="shared" si="3"/>
        <v>C</v>
      </c>
      <c r="N12" s="2" t="str">
        <f t="shared" si="4"/>
        <v>-</v>
      </c>
      <c r="O12" s="7"/>
      <c r="P12" s="3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3"/>
      <c r="B13" s="4"/>
      <c r="C13" s="20" t="s">
        <v>45</v>
      </c>
      <c r="D13" s="21" t="s">
        <v>46</v>
      </c>
      <c r="E13" s="7"/>
      <c r="F13" s="2"/>
      <c r="G13" s="2" t="str">
        <f t="shared" si="0"/>
        <v>C</v>
      </c>
      <c r="H13" s="2"/>
      <c r="I13" s="2" t="str">
        <f t="shared" si="1"/>
        <v>C</v>
      </c>
      <c r="J13" s="2"/>
      <c r="K13" s="2" t="str">
        <f t="shared" si="2"/>
        <v>C</v>
      </c>
      <c r="L13" s="2"/>
      <c r="M13" s="2" t="str">
        <f t="shared" si="3"/>
        <v>C</v>
      </c>
      <c r="N13" s="2" t="str">
        <f t="shared" si="4"/>
        <v>-</v>
      </c>
      <c r="O13" s="7"/>
      <c r="P13" s="3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3"/>
      <c r="B14" s="4"/>
      <c r="C14" s="20" t="s">
        <v>47</v>
      </c>
      <c r="D14" s="21" t="s">
        <v>12</v>
      </c>
      <c r="E14" s="7"/>
      <c r="F14" s="2"/>
      <c r="G14" s="2" t="str">
        <f t="shared" si="0"/>
        <v>C</v>
      </c>
      <c r="H14" s="2"/>
      <c r="I14" s="2" t="str">
        <f t="shared" si="1"/>
        <v>C</v>
      </c>
      <c r="J14" s="2"/>
      <c r="K14" s="2" t="str">
        <f t="shared" si="2"/>
        <v>C</v>
      </c>
      <c r="L14" s="2"/>
      <c r="M14" s="2" t="str">
        <f t="shared" si="3"/>
        <v>C</v>
      </c>
      <c r="N14" s="2" t="str">
        <f t="shared" si="4"/>
        <v>-</v>
      </c>
      <c r="O14" s="7"/>
      <c r="P14" s="3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3"/>
      <c r="B15" s="4"/>
      <c r="C15" s="20" t="s">
        <v>48</v>
      </c>
      <c r="D15" s="21" t="s">
        <v>49</v>
      </c>
      <c r="E15" s="7"/>
      <c r="F15" s="2"/>
      <c r="G15" s="2" t="str">
        <f t="shared" si="0"/>
        <v>C</v>
      </c>
      <c r="H15" s="2"/>
      <c r="I15" s="2" t="str">
        <f t="shared" si="1"/>
        <v>C</v>
      </c>
      <c r="J15" s="2"/>
      <c r="K15" s="2" t="str">
        <f t="shared" si="2"/>
        <v>C</v>
      </c>
      <c r="L15" s="2"/>
      <c r="M15" s="2" t="str">
        <f t="shared" si="3"/>
        <v>C</v>
      </c>
      <c r="N15" s="2" t="str">
        <f t="shared" si="4"/>
        <v>-</v>
      </c>
      <c r="O15" s="7"/>
      <c r="P15" s="3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>
      <c r="A16" s="3"/>
      <c r="B16" s="4"/>
      <c r="C16" s="20" t="s">
        <v>50</v>
      </c>
      <c r="D16" s="21" t="s">
        <v>51</v>
      </c>
      <c r="E16" s="7"/>
      <c r="F16" s="22"/>
      <c r="G16" s="22" t="str">
        <f t="shared" si="0"/>
        <v>C</v>
      </c>
      <c r="H16" s="22"/>
      <c r="I16" s="22" t="str">
        <f t="shared" si="1"/>
        <v>C</v>
      </c>
      <c r="J16" s="22"/>
      <c r="K16" s="22" t="str">
        <f t="shared" si="2"/>
        <v>C</v>
      </c>
      <c r="L16" s="22"/>
      <c r="M16" s="22" t="str">
        <f t="shared" si="3"/>
        <v>C</v>
      </c>
      <c r="N16" s="22" t="str">
        <f t="shared" si="4"/>
        <v>-</v>
      </c>
      <c r="O16" s="7"/>
      <c r="P16" s="3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3"/>
      <c r="B17" s="4"/>
      <c r="C17" s="20" t="s">
        <v>52</v>
      </c>
      <c r="D17" s="21" t="s">
        <v>53</v>
      </c>
      <c r="E17" s="7"/>
      <c r="F17" s="2"/>
      <c r="G17" s="2" t="str">
        <f t="shared" si="0"/>
        <v>C</v>
      </c>
      <c r="H17" s="2"/>
      <c r="I17" s="2" t="str">
        <f t="shared" si="1"/>
        <v>C</v>
      </c>
      <c r="J17" s="2"/>
      <c r="K17" s="2" t="str">
        <f t="shared" si="2"/>
        <v>C</v>
      </c>
      <c r="L17" s="2"/>
      <c r="M17" s="2" t="str">
        <f t="shared" si="3"/>
        <v>C</v>
      </c>
      <c r="N17" s="2" t="str">
        <f t="shared" si="4"/>
        <v>-</v>
      </c>
      <c r="O17" s="7"/>
      <c r="P17" s="3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3"/>
      <c r="B18" s="4"/>
      <c r="C18" s="20" t="s">
        <v>54</v>
      </c>
      <c r="D18" s="21" t="s">
        <v>55</v>
      </c>
      <c r="E18" s="7"/>
      <c r="F18" s="2"/>
      <c r="G18" s="2" t="str">
        <f t="shared" si="0"/>
        <v>C</v>
      </c>
      <c r="H18" s="2"/>
      <c r="I18" s="2" t="str">
        <f t="shared" si="1"/>
        <v>C</v>
      </c>
      <c r="J18" s="2"/>
      <c r="K18" s="2" t="str">
        <f t="shared" si="2"/>
        <v>C</v>
      </c>
      <c r="L18" s="2"/>
      <c r="M18" s="2" t="str">
        <f t="shared" si="3"/>
        <v>C</v>
      </c>
      <c r="N18" s="2" t="str">
        <f t="shared" si="4"/>
        <v>-</v>
      </c>
      <c r="O18" s="7"/>
      <c r="P18" s="3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3"/>
      <c r="B19" s="4"/>
      <c r="C19" s="20" t="s">
        <v>56</v>
      </c>
      <c r="D19" s="21" t="s">
        <v>14</v>
      </c>
      <c r="E19" s="7"/>
      <c r="F19" s="22"/>
      <c r="G19" s="22" t="str">
        <f t="shared" si="0"/>
        <v>C</v>
      </c>
      <c r="H19" s="22"/>
      <c r="I19" s="22" t="str">
        <f t="shared" si="1"/>
        <v>C</v>
      </c>
      <c r="J19" s="22"/>
      <c r="K19" s="22" t="str">
        <f t="shared" si="2"/>
        <v>C</v>
      </c>
      <c r="L19" s="22"/>
      <c r="M19" s="22" t="str">
        <f t="shared" si="3"/>
        <v>C</v>
      </c>
      <c r="N19" s="22" t="str">
        <f t="shared" si="4"/>
        <v>-</v>
      </c>
      <c r="O19" s="7"/>
      <c r="P19" s="3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3"/>
      <c r="B20" s="4"/>
      <c r="C20" s="20" t="s">
        <v>57</v>
      </c>
      <c r="D20" s="21" t="s">
        <v>13</v>
      </c>
      <c r="E20" s="7"/>
      <c r="F20" s="2"/>
      <c r="G20" s="2" t="str">
        <f t="shared" si="0"/>
        <v>C</v>
      </c>
      <c r="H20" s="2"/>
      <c r="I20" s="2" t="str">
        <f t="shared" si="1"/>
        <v>C</v>
      </c>
      <c r="J20" s="2"/>
      <c r="K20" s="2" t="str">
        <f t="shared" si="2"/>
        <v>C</v>
      </c>
      <c r="L20" s="2"/>
      <c r="M20" s="2" t="str">
        <f t="shared" si="3"/>
        <v>C</v>
      </c>
      <c r="N20" s="2" t="str">
        <f t="shared" si="4"/>
        <v>-</v>
      </c>
      <c r="O20" s="7"/>
      <c r="P20" s="3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3"/>
      <c r="B21" s="4"/>
      <c r="C21" s="23"/>
      <c r="D21" s="6"/>
      <c r="E21" s="7"/>
      <c r="F21" s="24"/>
      <c r="G21" s="24"/>
      <c r="H21" s="24"/>
      <c r="I21" s="24"/>
      <c r="J21" s="24"/>
      <c r="K21" s="24"/>
      <c r="L21" s="24"/>
      <c r="M21" s="24"/>
      <c r="N21" s="24"/>
      <c r="O21" s="7"/>
      <c r="P21" s="3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3"/>
      <c r="B22" s="4"/>
      <c r="C22" s="7"/>
      <c r="D22" s="25" t="s">
        <v>15</v>
      </c>
      <c r="E22" s="7"/>
      <c r="F22" s="46"/>
      <c r="G22" s="45"/>
      <c r="H22" s="46"/>
      <c r="I22" s="45"/>
      <c r="J22" s="46"/>
      <c r="K22" s="45"/>
      <c r="L22" s="46"/>
      <c r="M22" s="45"/>
      <c r="N22" s="26" t="str">
        <f t="shared" ref="N22:N24" si="5">IFERROR(ROUND(AVERAGE(L22,J22,H22,F22),0),"-")</f>
        <v>-</v>
      </c>
      <c r="O22" s="7"/>
      <c r="P22" s="3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3"/>
      <c r="B23" s="4"/>
      <c r="C23" s="7"/>
      <c r="D23" s="25" t="s">
        <v>16</v>
      </c>
      <c r="E23" s="7"/>
      <c r="F23" s="47"/>
      <c r="G23" s="45"/>
      <c r="H23" s="47"/>
      <c r="I23" s="45"/>
      <c r="J23" s="47"/>
      <c r="K23" s="45"/>
      <c r="L23" s="47"/>
      <c r="M23" s="45"/>
      <c r="N23" s="27" t="str">
        <f t="shared" si="5"/>
        <v>-</v>
      </c>
      <c r="O23" s="7"/>
      <c r="P23" s="3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3"/>
      <c r="B24" s="4"/>
      <c r="C24" s="7"/>
      <c r="D24" s="25" t="s">
        <v>17</v>
      </c>
      <c r="E24" s="7"/>
      <c r="F24" s="55"/>
      <c r="G24" s="45"/>
      <c r="H24" s="55"/>
      <c r="I24" s="45"/>
      <c r="J24" s="55"/>
      <c r="K24" s="45"/>
      <c r="L24" s="55"/>
      <c r="M24" s="45"/>
      <c r="N24" s="2" t="str">
        <f t="shared" si="5"/>
        <v>-</v>
      </c>
      <c r="O24" s="7"/>
      <c r="P24" s="3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6.75" customHeight="1">
      <c r="A25" s="3"/>
      <c r="B25" s="4"/>
      <c r="C25" s="7"/>
      <c r="D25" s="7"/>
      <c r="E25" s="7"/>
      <c r="F25" s="7"/>
      <c r="G25" s="7"/>
      <c r="H25" s="7"/>
      <c r="I25" s="7"/>
      <c r="J25" s="7"/>
      <c r="K25" s="7"/>
      <c r="L25" s="4"/>
      <c r="M25" s="7"/>
      <c r="N25" s="28"/>
      <c r="O25" s="7"/>
      <c r="P25" s="3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4" customHeight="1">
      <c r="A26" s="3"/>
      <c r="B26" s="4"/>
      <c r="C26" s="54" t="s">
        <v>18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1"/>
      <c r="O26" s="7"/>
      <c r="P26" s="3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6.75" customHeight="1">
      <c r="A27" s="3"/>
      <c r="B27" s="4"/>
      <c r="C27" s="5"/>
      <c r="D27" s="5"/>
      <c r="E27" s="5"/>
      <c r="F27" s="5"/>
      <c r="G27" s="5"/>
      <c r="H27" s="5"/>
      <c r="I27" s="5"/>
      <c r="J27" s="5"/>
      <c r="K27" s="7"/>
      <c r="L27" s="7"/>
      <c r="M27" s="5"/>
      <c r="N27" s="5"/>
      <c r="O27" s="7"/>
      <c r="P27" s="3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3"/>
      <c r="B28" s="4"/>
      <c r="C28" s="48" t="s">
        <v>19</v>
      </c>
      <c r="D28" s="29" t="s">
        <v>20</v>
      </c>
      <c r="E28" s="5"/>
      <c r="F28" s="44" t="s">
        <v>21</v>
      </c>
      <c r="G28" s="45"/>
      <c r="H28" s="44" t="s">
        <v>22</v>
      </c>
      <c r="I28" s="45"/>
      <c r="J28" s="44" t="s">
        <v>23</v>
      </c>
      <c r="K28" s="45"/>
      <c r="L28" s="44" t="s">
        <v>24</v>
      </c>
      <c r="M28" s="45"/>
      <c r="N28" s="48" t="s">
        <v>25</v>
      </c>
      <c r="O28" s="7"/>
      <c r="P28" s="3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3"/>
      <c r="B29" s="4"/>
      <c r="C29" s="49"/>
      <c r="D29" s="21" t="s">
        <v>26</v>
      </c>
      <c r="E29" s="30"/>
      <c r="F29" s="2"/>
      <c r="G29" s="2" t="str">
        <f t="shared" ref="G29:G33" si="6">IF(F29&gt;17,"AD",IF(F29&gt;13,"A",IF(F29&gt;10,"B",IF(F29&lt;=10,"C"))))</f>
        <v>C</v>
      </c>
      <c r="H29" s="2"/>
      <c r="I29" s="2" t="str">
        <f t="shared" ref="I29:I33" si="7">IF(H29&gt;17,"AD",IF(H29&gt;13,"A",IF(H29&gt;10,"B",IF(H29&lt;=10,"C"))))</f>
        <v>C</v>
      </c>
      <c r="J29" s="2"/>
      <c r="K29" s="2" t="str">
        <f t="shared" ref="K29:K33" si="8">IF(J29&gt;17,"AD",IF(J29&gt;13,"A",IF(J29&gt;10,"B",IF(J29&lt;=10,"C"))))</f>
        <v>C</v>
      </c>
      <c r="L29" s="2"/>
      <c r="M29" s="2" t="str">
        <f t="shared" ref="M29:M33" si="9">IF(L29&gt;17,"AD",IF(L29&gt;13,"A",IF(L29&gt;10,"B",IF(L29&lt;=10,"C"))))</f>
        <v>C</v>
      </c>
      <c r="N29" s="49"/>
      <c r="O29" s="7"/>
      <c r="P29" s="3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3"/>
      <c r="B30" s="4"/>
      <c r="C30" s="49"/>
      <c r="D30" s="21" t="s">
        <v>27</v>
      </c>
      <c r="E30" s="30"/>
      <c r="F30" s="2"/>
      <c r="G30" s="2" t="str">
        <f t="shared" si="6"/>
        <v>C</v>
      </c>
      <c r="H30" s="2"/>
      <c r="I30" s="2" t="str">
        <f t="shared" si="7"/>
        <v>C</v>
      </c>
      <c r="J30" s="2"/>
      <c r="K30" s="2" t="str">
        <f t="shared" si="8"/>
        <v>C</v>
      </c>
      <c r="L30" s="2"/>
      <c r="M30" s="2" t="str">
        <f t="shared" si="9"/>
        <v>C</v>
      </c>
      <c r="N30" s="49"/>
      <c r="O30" s="7"/>
      <c r="P30" s="3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3"/>
      <c r="B31" s="4"/>
      <c r="C31" s="49"/>
      <c r="D31" s="21" t="s">
        <v>28</v>
      </c>
      <c r="E31" s="30"/>
      <c r="F31" s="2"/>
      <c r="G31" s="2" t="str">
        <f t="shared" si="6"/>
        <v>C</v>
      </c>
      <c r="H31" s="2"/>
      <c r="I31" s="2" t="str">
        <f t="shared" si="7"/>
        <v>C</v>
      </c>
      <c r="J31" s="2"/>
      <c r="K31" s="2" t="str">
        <f t="shared" si="8"/>
        <v>C</v>
      </c>
      <c r="L31" s="2"/>
      <c r="M31" s="2" t="str">
        <f t="shared" si="9"/>
        <v>C</v>
      </c>
      <c r="N31" s="49"/>
      <c r="O31" s="7"/>
      <c r="P31" s="3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3"/>
      <c r="B32" s="4"/>
      <c r="C32" s="49"/>
      <c r="D32" s="21" t="s">
        <v>58</v>
      </c>
      <c r="E32" s="30"/>
      <c r="F32" s="2"/>
      <c r="G32" s="2" t="str">
        <f t="shared" si="6"/>
        <v>C</v>
      </c>
      <c r="H32" s="2"/>
      <c r="I32" s="2" t="str">
        <f t="shared" si="7"/>
        <v>C</v>
      </c>
      <c r="J32" s="2"/>
      <c r="K32" s="2" t="str">
        <f t="shared" si="8"/>
        <v>C</v>
      </c>
      <c r="L32" s="2"/>
      <c r="M32" s="2" t="str">
        <f t="shared" si="9"/>
        <v>C</v>
      </c>
      <c r="N32" s="49"/>
      <c r="O32" s="7"/>
      <c r="P32" s="3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3"/>
      <c r="B33" s="4"/>
      <c r="C33" s="49"/>
      <c r="D33" s="21" t="s">
        <v>59</v>
      </c>
      <c r="E33" s="30"/>
      <c r="F33" s="2"/>
      <c r="G33" s="2" t="str">
        <f t="shared" si="6"/>
        <v>C</v>
      </c>
      <c r="H33" s="2"/>
      <c r="I33" s="2" t="str">
        <f t="shared" si="7"/>
        <v>C</v>
      </c>
      <c r="J33" s="2"/>
      <c r="K33" s="2" t="str">
        <f t="shared" si="8"/>
        <v>C</v>
      </c>
      <c r="L33" s="2"/>
      <c r="M33" s="2" t="str">
        <f t="shared" si="9"/>
        <v>C</v>
      </c>
      <c r="N33" s="49"/>
      <c r="O33" s="7"/>
      <c r="P33" s="3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0.5" customHeight="1">
      <c r="A34" s="3"/>
      <c r="B34" s="4"/>
      <c r="C34" s="49"/>
      <c r="D34" s="7"/>
      <c r="E34" s="7"/>
      <c r="F34" s="7"/>
      <c r="G34" s="7"/>
      <c r="H34" s="7"/>
      <c r="I34" s="7"/>
      <c r="J34" s="30"/>
      <c r="K34" s="30"/>
      <c r="L34" s="30"/>
      <c r="M34" s="7"/>
      <c r="N34" s="49"/>
      <c r="O34" s="7"/>
      <c r="P34" s="3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3"/>
      <c r="B35" s="4"/>
      <c r="C35" s="49"/>
      <c r="D35" s="29" t="s">
        <v>29</v>
      </c>
      <c r="E35" s="5"/>
      <c r="F35" s="44" t="s">
        <v>21</v>
      </c>
      <c r="G35" s="45"/>
      <c r="H35" s="44" t="s">
        <v>22</v>
      </c>
      <c r="I35" s="45"/>
      <c r="J35" s="44" t="s">
        <v>23</v>
      </c>
      <c r="K35" s="45"/>
      <c r="L35" s="44" t="s">
        <v>24</v>
      </c>
      <c r="M35" s="45"/>
      <c r="N35" s="49"/>
      <c r="O35" s="7"/>
      <c r="P35" s="3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3"/>
      <c r="B36" s="4"/>
      <c r="C36" s="49"/>
      <c r="D36" s="21" t="s">
        <v>60</v>
      </c>
      <c r="E36" s="30"/>
      <c r="F36" s="2" t="str">
        <f>IFERROR(VLOOKUP($D$6,sabana1,21,FALSE),"-")</f>
        <v>-</v>
      </c>
      <c r="G36" s="2" t="str">
        <f t="shared" ref="G36:G37" si="10">IF(F36&gt;17,"AD",IF(F36&gt;13,"A",IF(F36&gt;10,"B",IF(F36&lt;=10,"C"))))</f>
        <v>AD</v>
      </c>
      <c r="H36" s="2"/>
      <c r="I36" s="2" t="str">
        <f t="shared" ref="I36:I37" si="11">IF(H36&gt;17,"AD",IF(H36&gt;13,"A",IF(H36&gt;10,"B",IF(H36&lt;=10,"C"))))</f>
        <v>C</v>
      </c>
      <c r="J36" s="2"/>
      <c r="K36" s="2" t="str">
        <f t="shared" ref="K36:K37" si="12">IF(J36&gt;17,"AD",IF(J36&gt;13,"A",IF(J36&gt;10,"B",IF(J36&lt;=10,"C"))))</f>
        <v>C</v>
      </c>
      <c r="L36" s="2"/>
      <c r="M36" s="2" t="str">
        <f t="shared" ref="M36:M37" si="13">IF(L36&gt;17,"AD",IF(L36&gt;13,"A",IF(L36&gt;10,"B",IF(L36&lt;=10,"C"))))</f>
        <v>C</v>
      </c>
      <c r="N36" s="49"/>
      <c r="O36" s="7"/>
      <c r="P36" s="3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5" customHeight="1">
      <c r="A37" s="3"/>
      <c r="B37" s="4"/>
      <c r="C37" s="49"/>
      <c r="D37" s="21" t="s">
        <v>61</v>
      </c>
      <c r="E37" s="30"/>
      <c r="F37" s="2" t="str">
        <f>IFERROR(VLOOKUP($D$6,sabana1,22,FALSE),"-")</f>
        <v>-</v>
      </c>
      <c r="G37" s="2" t="str">
        <f t="shared" si="10"/>
        <v>AD</v>
      </c>
      <c r="H37" s="2"/>
      <c r="I37" s="2" t="str">
        <f t="shared" si="11"/>
        <v>C</v>
      </c>
      <c r="J37" s="2"/>
      <c r="K37" s="2" t="str">
        <f t="shared" si="12"/>
        <v>C</v>
      </c>
      <c r="L37" s="2"/>
      <c r="M37" s="2" t="str">
        <f t="shared" si="13"/>
        <v>C</v>
      </c>
      <c r="N37" s="49"/>
      <c r="O37" s="7"/>
      <c r="P37" s="3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3"/>
      <c r="B38" s="4"/>
      <c r="C38" s="49"/>
      <c r="D38" s="7"/>
      <c r="E38" s="7"/>
      <c r="F38" s="7"/>
      <c r="G38" s="7"/>
      <c r="H38" s="7"/>
      <c r="I38" s="7"/>
      <c r="J38" s="6"/>
      <c r="K38" s="7"/>
      <c r="L38" s="6"/>
      <c r="M38" s="7"/>
      <c r="N38" s="49"/>
      <c r="O38" s="7"/>
      <c r="P38" s="3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3"/>
      <c r="B39" s="4"/>
      <c r="C39" s="49"/>
      <c r="D39" s="29" t="s">
        <v>62</v>
      </c>
      <c r="E39" s="7"/>
      <c r="F39" s="44" t="s">
        <v>21</v>
      </c>
      <c r="G39" s="45"/>
      <c r="H39" s="44" t="s">
        <v>22</v>
      </c>
      <c r="I39" s="45"/>
      <c r="J39" s="44" t="s">
        <v>23</v>
      </c>
      <c r="K39" s="45"/>
      <c r="L39" s="44" t="s">
        <v>24</v>
      </c>
      <c r="M39" s="45"/>
      <c r="N39" s="49"/>
      <c r="O39" s="7"/>
      <c r="P39" s="3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3"/>
      <c r="B40" s="4"/>
      <c r="C40" s="49"/>
      <c r="D40" s="21" t="s">
        <v>63</v>
      </c>
      <c r="E40" s="7"/>
      <c r="F40" s="2" t="str">
        <f>IFERROR(VLOOKUP($D$6,sabana1,27,FALSE),"-")</f>
        <v>-</v>
      </c>
      <c r="G40" s="2" t="str">
        <f t="shared" ref="G40:G42" si="14">IF(F40&gt;17,"AD",IF(F40&gt;13,"A",IF(F40&gt;10,"B",IF(F40&lt;=10,"C"))))</f>
        <v>AD</v>
      </c>
      <c r="H40" s="2"/>
      <c r="I40" s="2" t="str">
        <f t="shared" ref="I40:I42" si="15">IF(H40&gt;17,"AD",IF(H40&gt;13,"A",IF(H40&gt;10,"B",IF(H40&lt;=10,"C"))))</f>
        <v>C</v>
      </c>
      <c r="J40" s="2"/>
      <c r="K40" s="2" t="str">
        <f t="shared" ref="K40:K42" si="16">IF(J40&gt;17,"AD",IF(J40&gt;13,"A",IF(J40&gt;10,"B",IF(J40&lt;=10,"C"))))</f>
        <v>C</v>
      </c>
      <c r="L40" s="2"/>
      <c r="M40" s="2" t="str">
        <f t="shared" ref="M40:M42" si="17">IF(L40&gt;17,"AD",IF(L40&gt;13,"A",IF(L40&gt;10,"B",IF(L40&lt;=10,"C"))))</f>
        <v>C</v>
      </c>
      <c r="N40" s="49"/>
      <c r="O40" s="7"/>
      <c r="P40" s="3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3"/>
      <c r="B41" s="4"/>
      <c r="C41" s="49"/>
      <c r="D41" s="21" t="s">
        <v>64</v>
      </c>
      <c r="E41" s="7"/>
      <c r="F41" s="2" t="str">
        <f>IFERROR(VLOOKUP($D$6,sabana1,28,FALSE),"-")</f>
        <v>-</v>
      </c>
      <c r="G41" s="2" t="str">
        <f t="shared" si="14"/>
        <v>AD</v>
      </c>
      <c r="H41" s="2"/>
      <c r="I41" s="2" t="str">
        <f t="shared" si="15"/>
        <v>C</v>
      </c>
      <c r="J41" s="2"/>
      <c r="K41" s="2" t="str">
        <f t="shared" si="16"/>
        <v>C</v>
      </c>
      <c r="L41" s="2"/>
      <c r="M41" s="2" t="str">
        <f t="shared" si="17"/>
        <v>C</v>
      </c>
      <c r="N41" s="49"/>
      <c r="O41" s="7"/>
      <c r="P41" s="3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3"/>
      <c r="B42" s="4"/>
      <c r="C42" s="49"/>
      <c r="D42" s="21" t="s">
        <v>65</v>
      </c>
      <c r="E42" s="7"/>
      <c r="F42" s="2" t="str">
        <f>IFERROR(VLOOKUP($D$6,sabana1,29,FALSE),"-")</f>
        <v>-</v>
      </c>
      <c r="G42" s="2" t="str">
        <f t="shared" si="14"/>
        <v>AD</v>
      </c>
      <c r="H42" s="2"/>
      <c r="I42" s="2" t="str">
        <f t="shared" si="15"/>
        <v>C</v>
      </c>
      <c r="J42" s="2"/>
      <c r="K42" s="2" t="str">
        <f t="shared" si="16"/>
        <v>C</v>
      </c>
      <c r="L42" s="2"/>
      <c r="M42" s="2" t="str">
        <f t="shared" si="17"/>
        <v>C</v>
      </c>
      <c r="N42" s="49"/>
      <c r="O42" s="7"/>
      <c r="P42" s="3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3"/>
      <c r="B43" s="4"/>
      <c r="C43" s="49"/>
      <c r="D43" s="6"/>
      <c r="E43" s="7"/>
      <c r="F43" s="24"/>
      <c r="G43" s="24"/>
      <c r="H43" s="24"/>
      <c r="I43" s="24"/>
      <c r="J43" s="31"/>
      <c r="K43" s="24"/>
      <c r="L43" s="31"/>
      <c r="M43" s="24"/>
      <c r="N43" s="49"/>
      <c r="O43" s="7"/>
      <c r="P43" s="3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3"/>
      <c r="B44" s="4"/>
      <c r="C44" s="49"/>
      <c r="D44" s="29" t="s">
        <v>66</v>
      </c>
      <c r="E44" s="7"/>
      <c r="F44" s="44" t="s">
        <v>21</v>
      </c>
      <c r="G44" s="45"/>
      <c r="H44" s="44" t="s">
        <v>22</v>
      </c>
      <c r="I44" s="45"/>
      <c r="J44" s="44" t="s">
        <v>23</v>
      </c>
      <c r="K44" s="45"/>
      <c r="L44" s="44" t="s">
        <v>24</v>
      </c>
      <c r="M44" s="45"/>
      <c r="N44" s="49"/>
      <c r="O44" s="7"/>
      <c r="P44" s="3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3"/>
      <c r="B45" s="4"/>
      <c r="C45" s="49"/>
      <c r="D45" s="21" t="s">
        <v>30</v>
      </c>
      <c r="E45" s="7"/>
      <c r="F45" s="2" t="str">
        <f>IFERROR(VLOOKUP($D$6,sabana1,23,FALSE),"-")</f>
        <v>-</v>
      </c>
      <c r="G45" s="2" t="str">
        <f t="shared" ref="G45:G48" si="18">IF(F45&gt;17,"AD",IF(F45&gt;13,"A",IF(F45&gt;10,"B",IF(F45&lt;=10,"C"))))</f>
        <v>AD</v>
      </c>
      <c r="H45" s="2"/>
      <c r="I45" s="2" t="str">
        <f t="shared" ref="I45:I48" si="19">IF(H45&gt;17,"AD",IF(H45&gt;13,"A",IF(H45&gt;10,"B",IF(H45&lt;=10,"C"))))</f>
        <v>C</v>
      </c>
      <c r="J45" s="2"/>
      <c r="K45" s="2" t="str">
        <f t="shared" ref="K45:K48" si="20">IF(J45&gt;17,"AD",IF(J45&gt;13,"A",IF(J45&gt;10,"B",IF(J45&lt;=10,"C"))))</f>
        <v>C</v>
      </c>
      <c r="L45" s="2"/>
      <c r="M45" s="2" t="str">
        <f t="shared" ref="M45:M48" si="21">IF(L45&gt;17,"AD",IF(L45&gt;13,"A",IF(L45&gt;10,"B",IF(L45&lt;=10,"C"))))</f>
        <v>C</v>
      </c>
      <c r="N45" s="49"/>
      <c r="O45" s="7"/>
      <c r="P45" s="3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3"/>
      <c r="B46" s="4"/>
      <c r="C46" s="49"/>
      <c r="D46" s="21" t="s">
        <v>31</v>
      </c>
      <c r="E46" s="7"/>
      <c r="F46" s="2" t="str">
        <f>IFERROR(VLOOKUP($D$6,sabana1,24,FALSE),"-")</f>
        <v>-</v>
      </c>
      <c r="G46" s="2" t="str">
        <f t="shared" si="18"/>
        <v>AD</v>
      </c>
      <c r="H46" s="2"/>
      <c r="I46" s="2" t="str">
        <f t="shared" si="19"/>
        <v>C</v>
      </c>
      <c r="J46" s="2"/>
      <c r="K46" s="2" t="str">
        <f t="shared" si="20"/>
        <v>C</v>
      </c>
      <c r="L46" s="2"/>
      <c r="M46" s="2" t="str">
        <f t="shared" si="21"/>
        <v>C</v>
      </c>
      <c r="N46" s="49"/>
      <c r="O46" s="7"/>
      <c r="P46" s="3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3"/>
      <c r="B47" s="4"/>
      <c r="C47" s="49"/>
      <c r="D47" s="21" t="s">
        <v>67</v>
      </c>
      <c r="E47" s="7"/>
      <c r="F47" s="2" t="str">
        <f>IFERROR(VLOOKUP($D$6,sabana1,25,FALSE),"-")</f>
        <v>-</v>
      </c>
      <c r="G47" s="2" t="str">
        <f t="shared" si="18"/>
        <v>AD</v>
      </c>
      <c r="H47" s="2"/>
      <c r="I47" s="2" t="str">
        <f t="shared" si="19"/>
        <v>C</v>
      </c>
      <c r="J47" s="2"/>
      <c r="K47" s="2" t="str">
        <f t="shared" si="20"/>
        <v>C</v>
      </c>
      <c r="L47" s="2"/>
      <c r="M47" s="2" t="str">
        <f t="shared" si="21"/>
        <v>C</v>
      </c>
      <c r="N47" s="49"/>
      <c r="O47" s="7"/>
      <c r="P47" s="3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" customHeight="1">
      <c r="A48" s="3"/>
      <c r="B48" s="4"/>
      <c r="C48" s="49"/>
      <c r="D48" s="21" t="s">
        <v>32</v>
      </c>
      <c r="E48" s="7"/>
      <c r="F48" s="2" t="str">
        <f>IFERROR(VLOOKUP($D$6,sabana1,26,FALSE),"-")</f>
        <v>-</v>
      </c>
      <c r="G48" s="2" t="str">
        <f t="shared" si="18"/>
        <v>AD</v>
      </c>
      <c r="H48" s="2"/>
      <c r="I48" s="2" t="str">
        <f t="shared" si="19"/>
        <v>C</v>
      </c>
      <c r="J48" s="2"/>
      <c r="K48" s="2" t="str">
        <f t="shared" si="20"/>
        <v>C</v>
      </c>
      <c r="L48" s="2"/>
      <c r="M48" s="2" t="str">
        <f t="shared" si="21"/>
        <v>C</v>
      </c>
      <c r="N48" s="49"/>
      <c r="O48" s="7"/>
      <c r="P48" s="3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4.5" hidden="1" customHeight="1">
      <c r="A49" s="3"/>
      <c r="B49" s="4"/>
      <c r="C49" s="49"/>
      <c r="D49" s="7"/>
      <c r="E49" s="7"/>
      <c r="F49" s="7"/>
      <c r="G49" s="7"/>
      <c r="H49" s="7"/>
      <c r="I49" s="7"/>
      <c r="J49" s="7"/>
      <c r="K49" s="7"/>
      <c r="L49" s="7"/>
      <c r="M49" s="7"/>
      <c r="N49" s="49"/>
      <c r="O49" s="7"/>
      <c r="P49" s="3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hidden="1" customHeight="1">
      <c r="A50" s="3"/>
      <c r="B50" s="4"/>
      <c r="C50" s="49"/>
      <c r="D50" s="29" t="s">
        <v>68</v>
      </c>
      <c r="E50" s="32"/>
      <c r="F50" s="44" t="s">
        <v>21</v>
      </c>
      <c r="G50" s="45"/>
      <c r="H50" s="44" t="s">
        <v>22</v>
      </c>
      <c r="I50" s="45"/>
      <c r="J50" s="44" t="s">
        <v>23</v>
      </c>
      <c r="K50" s="45"/>
      <c r="L50" s="44" t="s">
        <v>24</v>
      </c>
      <c r="M50" s="45"/>
      <c r="N50" s="49"/>
      <c r="O50" s="7"/>
      <c r="P50" s="3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1.25" hidden="1" customHeight="1">
      <c r="A51" s="3"/>
      <c r="B51" s="4"/>
      <c r="C51" s="49"/>
      <c r="D51" s="21" t="s">
        <v>69</v>
      </c>
      <c r="E51" s="5"/>
      <c r="F51" s="2" t="str">
        <f>IFERROR(VLOOKUP($D$6,sabana1,40,FALSE),"-")</f>
        <v>-</v>
      </c>
      <c r="G51" s="2" t="str">
        <f t="shared" ref="G51:G57" si="22">IF(F51&gt;17,"AD",IF(F51&gt;13,"A",IF(F51&gt;10,"B",IF(F51&lt;=10,"C"))))</f>
        <v>AD</v>
      </c>
      <c r="H51" s="2" t="str">
        <f>IFERROR(VLOOKUP($D$6,sabana2,40,FALSE),"-")</f>
        <v>-</v>
      </c>
      <c r="I51" s="2" t="str">
        <f t="shared" ref="I51:I57" si="23">IF(H51&gt;17,"AD",IF(H51&gt;13,"A",IF(H51&gt;10,"B",IF(H51&lt;=10,"C"))))</f>
        <v>AD</v>
      </c>
      <c r="J51" s="2" t="str">
        <f>IFERROR(VLOOKUP($D$6,sabana3,40,FALSE),"-")</f>
        <v>-</v>
      </c>
      <c r="K51" s="2" t="str">
        <f t="shared" ref="K51:K57" si="24">IF(J51&gt;17,"AD",IF(J51&gt;13,"A",IF(J51&gt;10,"B",IF(J51&lt;=10,"C"))))</f>
        <v>AD</v>
      </c>
      <c r="L51" s="2" t="str">
        <f>IFERROR(VLOOKUP($D$6,sabana4,40,FALSE),"-")</f>
        <v>-</v>
      </c>
      <c r="M51" s="2" t="str">
        <f t="shared" ref="M51:M57" si="25">IF(L51&gt;17,"AD",IF(L51&gt;13,"A",IF(L51&gt;10,"B",IF(L51&lt;=10,"C"))))</f>
        <v>AD</v>
      </c>
      <c r="N51" s="49"/>
      <c r="O51" s="7"/>
      <c r="P51" s="3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" hidden="1" customHeight="1">
      <c r="A52" s="3"/>
      <c r="B52" s="4"/>
      <c r="C52" s="49"/>
      <c r="D52" s="21" t="s">
        <v>70</v>
      </c>
      <c r="E52" s="5"/>
      <c r="F52" s="2" t="str">
        <f>IFERROR(VLOOKUP($D$6,sabana1,41,FALSE),"-")</f>
        <v>-</v>
      </c>
      <c r="G52" s="2" t="str">
        <f t="shared" si="22"/>
        <v>AD</v>
      </c>
      <c r="H52" s="2" t="str">
        <f>IFERROR(VLOOKUP($D$6,sabana2,41,FALSE),"-")</f>
        <v>-</v>
      </c>
      <c r="I52" s="2" t="str">
        <f t="shared" si="23"/>
        <v>AD</v>
      </c>
      <c r="J52" s="2" t="str">
        <f>IFERROR(VLOOKUP($D$6,sabana3,41,FALSE),"-")</f>
        <v>-</v>
      </c>
      <c r="K52" s="2" t="str">
        <f t="shared" si="24"/>
        <v>AD</v>
      </c>
      <c r="L52" s="2" t="str">
        <f>IFERROR(VLOOKUP($D$6,sabana4,41,FALSE),"-")</f>
        <v>-</v>
      </c>
      <c r="M52" s="2" t="str">
        <f t="shared" si="25"/>
        <v>AD</v>
      </c>
      <c r="N52" s="49"/>
      <c r="O52" s="7"/>
      <c r="P52" s="3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5" hidden="1" customHeight="1">
      <c r="A53" s="3"/>
      <c r="B53" s="4"/>
      <c r="C53" s="49"/>
      <c r="D53" s="21" t="s">
        <v>71</v>
      </c>
      <c r="E53" s="5"/>
      <c r="F53" s="2" t="str">
        <f>IFERROR(VLOOKUP($D$6,sabana1,42,FALSE),"-")</f>
        <v>-</v>
      </c>
      <c r="G53" s="2" t="str">
        <f t="shared" si="22"/>
        <v>AD</v>
      </c>
      <c r="H53" s="2" t="str">
        <f>IFERROR(VLOOKUP($D$6,sabana2,42,FALSE),"-")</f>
        <v>-</v>
      </c>
      <c r="I53" s="2" t="str">
        <f t="shared" si="23"/>
        <v>AD</v>
      </c>
      <c r="J53" s="2" t="str">
        <f>IFERROR(VLOOKUP($D$6,sabana3,42,FALSE),"-")</f>
        <v>-</v>
      </c>
      <c r="K53" s="2" t="str">
        <f t="shared" si="24"/>
        <v>AD</v>
      </c>
      <c r="L53" s="2" t="str">
        <f>IFERROR(VLOOKUP($D$6,sabana4,42,FALSE),"-")</f>
        <v>-</v>
      </c>
      <c r="M53" s="2" t="str">
        <f t="shared" si="25"/>
        <v>AD</v>
      </c>
      <c r="N53" s="49"/>
      <c r="O53" s="7"/>
      <c r="P53" s="3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hidden="1" customHeight="1">
      <c r="A54" s="3"/>
      <c r="B54" s="4"/>
      <c r="C54" s="49"/>
      <c r="D54" s="21" t="s">
        <v>72</v>
      </c>
      <c r="E54" s="5"/>
      <c r="F54" s="2" t="str">
        <f>IFERROR(VLOOKUP($D$6,sabana1,43,FALSE),"-")</f>
        <v>-</v>
      </c>
      <c r="G54" s="2" t="str">
        <f t="shared" si="22"/>
        <v>AD</v>
      </c>
      <c r="H54" s="2" t="str">
        <f>IFERROR(VLOOKUP($D$6,sabana2,43,FALSE),"-")</f>
        <v>-</v>
      </c>
      <c r="I54" s="2" t="str">
        <f t="shared" si="23"/>
        <v>AD</v>
      </c>
      <c r="J54" s="2" t="str">
        <f>IFERROR(VLOOKUP($D$6,sabana3,43,FALSE),"-")</f>
        <v>-</v>
      </c>
      <c r="K54" s="2" t="str">
        <f t="shared" si="24"/>
        <v>AD</v>
      </c>
      <c r="L54" s="2" t="str">
        <f>IFERROR(VLOOKUP($D$6,sabana4,43,FALSE),"-")</f>
        <v>-</v>
      </c>
      <c r="M54" s="2" t="str">
        <f t="shared" si="25"/>
        <v>AD</v>
      </c>
      <c r="N54" s="49"/>
      <c r="O54" s="7"/>
      <c r="P54" s="3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hidden="1" customHeight="1">
      <c r="A55" s="3"/>
      <c r="B55" s="4"/>
      <c r="C55" s="49"/>
      <c r="D55" s="21" t="s">
        <v>73</v>
      </c>
      <c r="E55" s="5"/>
      <c r="F55" s="2" t="str">
        <f>IFERROR(VLOOKUP($D$6,sabana1,44,FALSE),"-")</f>
        <v>-</v>
      </c>
      <c r="G55" s="2" t="str">
        <f t="shared" si="22"/>
        <v>AD</v>
      </c>
      <c r="H55" s="2" t="str">
        <f>IFERROR(VLOOKUP($D$6,sabana2,44,FALSE),"-")</f>
        <v>-</v>
      </c>
      <c r="I55" s="2" t="str">
        <f t="shared" si="23"/>
        <v>AD</v>
      </c>
      <c r="J55" s="2" t="str">
        <f>IFERROR(VLOOKUP($D$6,sabana3,44,FALSE),"-")</f>
        <v>-</v>
      </c>
      <c r="K55" s="2" t="str">
        <f t="shared" si="24"/>
        <v>AD</v>
      </c>
      <c r="L55" s="2" t="str">
        <f>IFERROR(VLOOKUP($D$6,sabana4,44,FALSE),"-")</f>
        <v>-</v>
      </c>
      <c r="M55" s="2" t="str">
        <f t="shared" si="25"/>
        <v>AD</v>
      </c>
      <c r="N55" s="49"/>
      <c r="O55" s="7"/>
      <c r="P55" s="3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" hidden="1" customHeight="1">
      <c r="A56" s="3"/>
      <c r="B56" s="4"/>
      <c r="C56" s="49"/>
      <c r="D56" s="21" t="s">
        <v>74</v>
      </c>
      <c r="E56" s="5"/>
      <c r="F56" s="2" t="str">
        <f>IFERROR(VLOOKUP($D$6,sabana1,45,FALSE),"-")</f>
        <v>-</v>
      </c>
      <c r="G56" s="2" t="str">
        <f t="shared" si="22"/>
        <v>AD</v>
      </c>
      <c r="H56" s="2" t="str">
        <f>IFERROR(VLOOKUP($D$6,sabana2,45,FALSE),"-")</f>
        <v>-</v>
      </c>
      <c r="I56" s="2" t="str">
        <f t="shared" si="23"/>
        <v>AD</v>
      </c>
      <c r="J56" s="2" t="str">
        <f>IFERROR(VLOOKUP($D$6,sabana3,45,FALSE),"-")</f>
        <v>-</v>
      </c>
      <c r="K56" s="2" t="str">
        <f t="shared" si="24"/>
        <v>AD</v>
      </c>
      <c r="L56" s="2" t="str">
        <f>IFERROR(VLOOKUP($D$6,sabana4,45,FALSE),"-")</f>
        <v>-</v>
      </c>
      <c r="M56" s="2" t="str">
        <f t="shared" si="25"/>
        <v>AD</v>
      </c>
      <c r="N56" s="49"/>
      <c r="O56" s="7"/>
      <c r="P56" s="3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5" hidden="1" customHeight="1">
      <c r="A57" s="3"/>
      <c r="B57" s="4"/>
      <c r="C57" s="49"/>
      <c r="D57" s="21" t="s">
        <v>75</v>
      </c>
      <c r="E57" s="5"/>
      <c r="F57" s="2" t="str">
        <f>IFERROR(VLOOKUP($D$6,sabana1,46,FALSE),"-")</f>
        <v>-</v>
      </c>
      <c r="G57" s="2" t="str">
        <f t="shared" si="22"/>
        <v>AD</v>
      </c>
      <c r="H57" s="2" t="str">
        <f>IFERROR(VLOOKUP($D$6,sabana2,46,FALSE),"-")</f>
        <v>-</v>
      </c>
      <c r="I57" s="2" t="str">
        <f t="shared" si="23"/>
        <v>AD</v>
      </c>
      <c r="J57" s="2" t="str">
        <f>IFERROR(VLOOKUP($D$6,sabana3,46,FALSE),"-")</f>
        <v>-</v>
      </c>
      <c r="K57" s="2" t="str">
        <f t="shared" si="24"/>
        <v>AD</v>
      </c>
      <c r="L57" s="2" t="str">
        <f>IFERROR(VLOOKUP($D$6,sabana4,46,FALSE),"-")</f>
        <v>-</v>
      </c>
      <c r="M57" s="2" t="str">
        <f t="shared" si="25"/>
        <v>AD</v>
      </c>
      <c r="N57" s="49"/>
      <c r="O57" s="7"/>
      <c r="P57" s="3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6.75" customHeight="1">
      <c r="A58" s="3"/>
      <c r="B58" s="4"/>
      <c r="C58" s="49"/>
      <c r="D58" s="7"/>
      <c r="E58" s="7"/>
      <c r="F58" s="7"/>
      <c r="G58" s="7"/>
      <c r="H58" s="7"/>
      <c r="I58" s="7"/>
      <c r="J58" s="6"/>
      <c r="K58" s="6"/>
      <c r="L58" s="6"/>
      <c r="M58" s="7"/>
      <c r="N58" s="49"/>
      <c r="O58" s="7"/>
      <c r="P58" s="3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3"/>
      <c r="B59" s="4"/>
      <c r="C59" s="49"/>
      <c r="D59" s="29" t="s">
        <v>33</v>
      </c>
      <c r="E59" s="14"/>
      <c r="F59" s="44" t="s">
        <v>21</v>
      </c>
      <c r="G59" s="45"/>
      <c r="H59" s="44" t="s">
        <v>22</v>
      </c>
      <c r="I59" s="45"/>
      <c r="J59" s="44" t="s">
        <v>23</v>
      </c>
      <c r="K59" s="45"/>
      <c r="L59" s="44" t="s">
        <v>24</v>
      </c>
      <c r="M59" s="45"/>
      <c r="N59" s="49"/>
      <c r="O59" s="7"/>
      <c r="P59" s="3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1.25" customHeight="1">
      <c r="A60" s="3"/>
      <c r="B60" s="4"/>
      <c r="C60" s="49"/>
      <c r="D60" s="21" t="s">
        <v>34</v>
      </c>
      <c r="E60" s="7"/>
      <c r="F60" s="2" t="str">
        <f>IFERROR(VLOOKUP($D$6,sabana1,39,FALSE),"-")</f>
        <v>-</v>
      </c>
      <c r="G60" s="2" t="str">
        <f>IF(F60&gt;17,"AD",IF(F60&gt;13,"A",IF(F60&gt;10,"B",IF(F60&lt;=10,"C"))))</f>
        <v>AD</v>
      </c>
      <c r="H60" s="2"/>
      <c r="I60" s="2" t="str">
        <f>IF(H60&gt;17,"AD",IF(H60&gt;13,"A",IF(H60&gt;10,"B",IF(H60&lt;=10,"C"))))</f>
        <v>C</v>
      </c>
      <c r="J60" s="2"/>
      <c r="K60" s="2" t="str">
        <f>IF(J60&gt;17,"AD",IF(J60&gt;13,"A",IF(J60&gt;10,"B",IF(J60&lt;=10,"C"))))</f>
        <v>C</v>
      </c>
      <c r="L60" s="2"/>
      <c r="M60" s="2" t="str">
        <f>IF(L60&gt;17,"AD",IF(L60&gt;13,"A",IF(L60&gt;10,"B",IF(L60&lt;=10,"C"))))</f>
        <v>C</v>
      </c>
      <c r="N60" s="49"/>
      <c r="O60" s="7"/>
      <c r="P60" s="3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1.25" customHeight="1">
      <c r="A61" s="3"/>
      <c r="B61" s="4"/>
      <c r="C61" s="49"/>
      <c r="D61" s="7"/>
      <c r="E61" s="7"/>
      <c r="F61" s="7"/>
      <c r="G61" s="7"/>
      <c r="H61" s="7"/>
      <c r="I61" s="7"/>
      <c r="J61" s="6"/>
      <c r="K61" s="6"/>
      <c r="L61" s="6"/>
      <c r="M61" s="7"/>
      <c r="N61" s="49"/>
      <c r="O61" s="7"/>
      <c r="P61" s="3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3"/>
      <c r="B62" s="4"/>
      <c r="C62" s="49"/>
      <c r="D62" s="29" t="s">
        <v>35</v>
      </c>
      <c r="E62" s="14"/>
      <c r="F62" s="44" t="s">
        <v>21</v>
      </c>
      <c r="G62" s="45"/>
      <c r="H62" s="44" t="s">
        <v>22</v>
      </c>
      <c r="I62" s="45"/>
      <c r="J62" s="44" t="s">
        <v>23</v>
      </c>
      <c r="K62" s="45"/>
      <c r="L62" s="44" t="s">
        <v>24</v>
      </c>
      <c r="M62" s="45"/>
      <c r="N62" s="49"/>
      <c r="O62" s="7"/>
      <c r="P62" s="3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3"/>
      <c r="B63" s="4"/>
      <c r="C63" s="49"/>
      <c r="D63" s="21" t="s">
        <v>36</v>
      </c>
      <c r="E63" s="7"/>
      <c r="F63" s="2" t="str">
        <f>IFERROR(VLOOKUP($D$6,sabana1,30,FALSE),"-")</f>
        <v>-</v>
      </c>
      <c r="G63" s="2" t="str">
        <f>IF(F63&gt;40,"AD",IF(F63&gt;30,"A",IF(F63&gt;20,"B","C")))</f>
        <v>AD</v>
      </c>
      <c r="H63" s="2"/>
      <c r="I63" s="2" t="str">
        <f>IF(H63&gt;40,"AD",IF(H63&gt;30,"A",IF(H63&gt;20,"B","C")))</f>
        <v>C</v>
      </c>
      <c r="J63" s="2"/>
      <c r="K63" s="2" t="str">
        <f>IF(J63&gt;40,"AD",IF(J63&gt;30,"A",IF(J63&gt;20,"B","C")))</f>
        <v>C</v>
      </c>
      <c r="L63" s="2"/>
      <c r="M63" s="2" t="str">
        <f>IF(L63&gt;40,"AD",IF(L63&gt;30,"A",IF(L63&gt;20,"B","C")))</f>
        <v>C</v>
      </c>
      <c r="N63" s="49"/>
      <c r="O63" s="7"/>
      <c r="P63" s="3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3"/>
      <c r="B64" s="4"/>
      <c r="C64" s="49"/>
      <c r="D64" s="21" t="s">
        <v>37</v>
      </c>
      <c r="E64" s="7"/>
      <c r="F64" s="2" t="str">
        <f>IFERROR(VLOOKUP($D$6,sabana1,31,FALSE),"-")</f>
        <v>-</v>
      </c>
      <c r="G64" s="2" t="str">
        <f>IF(F64&lt;=0,"AD",IF(F64&lt;5,"A",IF(F64&lt;10,"B","C")))</f>
        <v>C</v>
      </c>
      <c r="H64" s="2"/>
      <c r="I64" s="2" t="str">
        <f>IF(H64&lt;=0,"AD",IF(H64&lt;5,"A",IF(H64&lt;10,"B","C")))</f>
        <v>AD</v>
      </c>
      <c r="J64" s="2"/>
      <c r="K64" s="2" t="str">
        <f>IF(J64&lt;=0,"AD",IF(J64&lt;5,"A",IF(J64&lt;10,"B","C")))</f>
        <v>AD</v>
      </c>
      <c r="L64" s="2"/>
      <c r="M64" s="2" t="str">
        <f>IF(L64&lt;=0,"AD",IF(L64&lt;5,"A",IF(L64&lt;10,"B","C")))</f>
        <v>AD</v>
      </c>
      <c r="N64" s="49"/>
      <c r="O64" s="7"/>
      <c r="P64" s="3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3"/>
      <c r="B65" s="4"/>
      <c r="C65" s="49"/>
      <c r="D65" s="21" t="s">
        <v>38</v>
      </c>
      <c r="E65" s="7"/>
      <c r="F65" s="2" t="str">
        <f>IFERROR(VLOOKUP($D$6,sabana1,32,FALSE),"-")</f>
        <v>-</v>
      </c>
      <c r="G65" s="2" t="str">
        <f t="shared" ref="G65:G66" si="26">IF(F65&lt;=0,"AD",IF(F65&lt;=3,"A",IF(F65&lt;=5,"B",IF(F65&gt;5,"C"))))</f>
        <v>C</v>
      </c>
      <c r="H65" s="2"/>
      <c r="I65" s="2" t="str">
        <f t="shared" ref="I65:I66" si="27">IF(H65&lt;=0,"AD",IF(H65&lt;=3,"A",IF(H65&lt;=5,"B",IF(H65&gt;5,"C"))))</f>
        <v>AD</v>
      </c>
      <c r="J65" s="2"/>
      <c r="K65" s="2" t="str">
        <f t="shared" ref="K65:K66" si="28">IF(J65&lt;=0,"AD",IF(J65&lt;=3,"A",IF(J65&lt;=5,"B",IF(J65&gt;5,"C"))))</f>
        <v>AD</v>
      </c>
      <c r="L65" s="2"/>
      <c r="M65" s="2" t="str">
        <f t="shared" ref="M65:M66" si="29">IF(L65&lt;=0,"AD",IF(L65&lt;=3,"A",IF(L65&lt;=5,"B",IF(L65&gt;5,"C"))))</f>
        <v>AD</v>
      </c>
      <c r="N65" s="49"/>
      <c r="O65" s="7"/>
      <c r="P65" s="3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3"/>
      <c r="B66" s="4"/>
      <c r="C66" s="49"/>
      <c r="D66" s="21" t="s">
        <v>39</v>
      </c>
      <c r="E66" s="7"/>
      <c r="F66" s="2" t="str">
        <f>IFERROR(VLOOKUP($D$6,sabana1,33,FALSE),"-")</f>
        <v>-</v>
      </c>
      <c r="G66" s="2" t="str">
        <f t="shared" si="26"/>
        <v>C</v>
      </c>
      <c r="H66" s="2"/>
      <c r="I66" s="2" t="str">
        <f t="shared" si="27"/>
        <v>AD</v>
      </c>
      <c r="J66" s="2"/>
      <c r="K66" s="2" t="str">
        <f t="shared" si="28"/>
        <v>AD</v>
      </c>
      <c r="L66" s="2"/>
      <c r="M66" s="2" t="str">
        <f t="shared" si="29"/>
        <v>AD</v>
      </c>
      <c r="N66" s="49"/>
      <c r="O66" s="7"/>
      <c r="P66" s="3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9.75" customHeight="1">
      <c r="A67" s="3"/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8"/>
      <c r="O67" s="7"/>
      <c r="P67" s="3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.75" customHeight="1">
      <c r="A68" s="3"/>
      <c r="B68" s="4"/>
      <c r="C68" s="54" t="s">
        <v>76</v>
      </c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1"/>
      <c r="O68" s="13"/>
      <c r="P68" s="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6.75" customHeight="1">
      <c r="A69" s="3"/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8"/>
      <c r="O69" s="7"/>
      <c r="P69" s="3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3"/>
      <c r="B70" s="4"/>
      <c r="C70" s="33" t="s">
        <v>21</v>
      </c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7"/>
      <c r="P70" s="3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4.5" customHeight="1">
      <c r="A71" s="3"/>
      <c r="B71" s="4"/>
      <c r="C71" s="7"/>
      <c r="D71" s="6"/>
      <c r="E71" s="6"/>
      <c r="F71" s="6"/>
      <c r="G71" s="6"/>
      <c r="H71" s="6"/>
      <c r="I71" s="6"/>
      <c r="J71" s="6"/>
      <c r="K71" s="6"/>
      <c r="L71" s="6"/>
      <c r="M71" s="6"/>
      <c r="N71" s="8"/>
      <c r="O71" s="7"/>
      <c r="P71" s="3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3"/>
      <c r="B72" s="4"/>
      <c r="C72" s="33" t="s">
        <v>22</v>
      </c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7"/>
      <c r="P72" s="3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4.5" customHeight="1">
      <c r="A73" s="3"/>
      <c r="B73" s="4"/>
      <c r="C73" s="7"/>
      <c r="D73" s="6"/>
      <c r="E73" s="6"/>
      <c r="F73" s="6"/>
      <c r="G73" s="6"/>
      <c r="H73" s="6"/>
      <c r="I73" s="6"/>
      <c r="J73" s="6"/>
      <c r="K73" s="6"/>
      <c r="L73" s="6"/>
      <c r="M73" s="6"/>
      <c r="N73" s="8"/>
      <c r="O73" s="7"/>
      <c r="P73" s="3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3"/>
      <c r="B74" s="4"/>
      <c r="C74" s="33" t="s">
        <v>23</v>
      </c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7"/>
      <c r="P74" s="3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4.5" customHeight="1">
      <c r="A75" s="3"/>
      <c r="B75" s="4"/>
      <c r="C75" s="7"/>
      <c r="D75" s="6"/>
      <c r="E75" s="6"/>
      <c r="F75" s="6"/>
      <c r="G75" s="6"/>
      <c r="H75" s="6"/>
      <c r="I75" s="6"/>
      <c r="J75" s="6"/>
      <c r="K75" s="6"/>
      <c r="L75" s="6"/>
      <c r="M75" s="6"/>
      <c r="N75" s="8"/>
      <c r="O75" s="7"/>
      <c r="P75" s="3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3"/>
      <c r="B76" s="4"/>
      <c r="C76" s="33" t="s">
        <v>24</v>
      </c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7"/>
      <c r="P76" s="3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99.75" customHeight="1">
      <c r="A77" s="3"/>
      <c r="B77" s="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8"/>
      <c r="O77" s="7"/>
      <c r="P77" s="3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3"/>
      <c r="B78" s="4"/>
      <c r="C78" s="7"/>
      <c r="D78" s="43" t="s">
        <v>40</v>
      </c>
      <c r="E78" s="43"/>
      <c r="F78" s="43"/>
      <c r="G78" s="43"/>
      <c r="H78" s="43"/>
      <c r="I78" s="43"/>
      <c r="J78" s="43"/>
      <c r="K78" s="43"/>
      <c r="L78" s="43"/>
      <c r="M78" s="43"/>
      <c r="N78" s="5"/>
      <c r="O78" s="7"/>
      <c r="P78" s="3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3"/>
      <c r="B79" s="4"/>
      <c r="C79" s="7"/>
      <c r="D79" s="37" t="s">
        <v>77</v>
      </c>
      <c r="E79" s="37"/>
      <c r="F79" s="37"/>
      <c r="G79" s="37"/>
      <c r="H79" s="37"/>
      <c r="I79" s="37"/>
      <c r="J79" s="37"/>
      <c r="K79" s="37"/>
      <c r="L79" s="37"/>
      <c r="M79" s="37"/>
      <c r="N79" s="5"/>
      <c r="O79" s="7"/>
      <c r="P79" s="3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3"/>
      <c r="B80" s="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8"/>
      <c r="O80" s="7"/>
      <c r="P80" s="3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3"/>
      <c r="B81" s="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8"/>
      <c r="O81" s="7"/>
      <c r="P81" s="3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3"/>
      <c r="B82" s="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8"/>
      <c r="O82" s="7"/>
      <c r="P82" s="3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3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3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3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36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36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36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36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3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3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3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3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3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3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3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3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36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3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3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3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3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3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3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3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3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3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3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3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3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3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3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3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3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3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3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3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3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3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3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3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3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3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3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3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3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3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3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3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3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3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3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3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3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3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3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3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3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3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3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3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3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3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3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3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3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3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3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3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3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3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3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3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3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3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3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3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3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3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3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3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3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3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3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3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3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3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3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3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3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3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3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3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3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3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3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3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3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3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3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3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3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3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3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3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3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3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3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3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3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3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3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3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3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3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3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3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3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3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3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3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3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3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3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3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3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3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3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3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3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3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3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3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3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3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3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3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3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3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3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3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3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3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3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3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3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3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3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3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3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3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3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3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3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3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3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3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3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3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3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3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3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3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3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3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3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3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3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3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3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3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3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3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3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3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3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3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3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3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3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3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3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3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3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3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3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3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3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3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3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3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3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3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3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3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3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</row>
    <row r="279" spans="1:26" ht="15.75" customHeight="1">
      <c r="A279" s="7"/>
    </row>
    <row r="280" spans="1:26" ht="15.75" customHeight="1">
      <c r="A280" s="7"/>
    </row>
    <row r="281" spans="1:26" ht="15.75" customHeight="1">
      <c r="A281" s="7"/>
    </row>
    <row r="282" spans="1:26" ht="15.75" customHeight="1">
      <c r="A282" s="7"/>
    </row>
    <row r="283" spans="1:26" ht="15.75" customHeight="1">
      <c r="A283" s="7"/>
    </row>
    <row r="284" spans="1:26" ht="15.75" customHeight="1">
      <c r="A284" s="7"/>
    </row>
    <row r="285" spans="1:26" ht="15.75" customHeight="1">
      <c r="A285" s="7"/>
    </row>
    <row r="286" spans="1:26" ht="15.75" customHeight="1">
      <c r="A286" s="7"/>
    </row>
    <row r="287" spans="1:26" ht="15.75" customHeight="1">
      <c r="A287" s="7"/>
    </row>
    <row r="288" spans="1:26" ht="15.75" customHeight="1">
      <c r="A288" s="7"/>
    </row>
    <row r="289" spans="1:1" ht="15.75" customHeight="1">
      <c r="A289" s="7"/>
    </row>
    <row r="290" spans="1:1" ht="15.75" customHeight="1">
      <c r="A290" s="7"/>
    </row>
    <row r="291" spans="1:1" ht="15.75" customHeight="1">
      <c r="A291" s="7"/>
    </row>
    <row r="292" spans="1:1" ht="15.75" customHeight="1">
      <c r="A292" s="7"/>
    </row>
    <row r="293" spans="1:1" ht="15.75" customHeight="1">
      <c r="A293" s="7"/>
    </row>
    <row r="294" spans="1:1" ht="15.75" customHeight="1">
      <c r="A294" s="7"/>
    </row>
    <row r="295" spans="1:1" ht="15.75" customHeight="1">
      <c r="A295" s="7"/>
    </row>
    <row r="296" spans="1:1" ht="15.75" customHeight="1">
      <c r="A296" s="7"/>
    </row>
    <row r="297" spans="1:1" ht="15.75" customHeight="1">
      <c r="A297" s="7"/>
    </row>
    <row r="298" spans="1:1" ht="15.75" customHeight="1">
      <c r="A298" s="7"/>
    </row>
    <row r="299" spans="1:1" ht="15.75" customHeight="1">
      <c r="A299" s="7"/>
    </row>
    <row r="300" spans="1:1" ht="15.75" customHeight="1">
      <c r="A300" s="7"/>
    </row>
    <row r="301" spans="1:1" ht="15.75" customHeight="1">
      <c r="A301" s="7"/>
    </row>
    <row r="302" spans="1:1" ht="15.75" customHeight="1">
      <c r="A302" s="7"/>
    </row>
    <row r="303" spans="1:1" ht="15.75" customHeight="1">
      <c r="A303" s="7"/>
    </row>
    <row r="304" spans="1:1" ht="15.75" customHeight="1">
      <c r="A304" s="7"/>
    </row>
    <row r="305" spans="1:1" ht="15.75" customHeight="1">
      <c r="A305" s="7"/>
    </row>
    <row r="306" spans="1:1" ht="15.75" customHeight="1">
      <c r="A306" s="7"/>
    </row>
    <row r="307" spans="1:1" ht="15.75" customHeight="1">
      <c r="A307" s="7"/>
    </row>
    <row r="308" spans="1:1" ht="15.75" customHeight="1">
      <c r="A308" s="7"/>
    </row>
    <row r="309" spans="1:1" ht="15.75" customHeight="1">
      <c r="A309" s="7"/>
    </row>
    <row r="310" spans="1:1" ht="15.75" customHeight="1">
      <c r="A310" s="7"/>
    </row>
    <row r="311" spans="1:1" ht="15.75" customHeight="1">
      <c r="A311" s="7"/>
    </row>
    <row r="312" spans="1:1" ht="15.75" customHeight="1">
      <c r="A312" s="7"/>
    </row>
    <row r="313" spans="1:1" ht="15.75" customHeight="1">
      <c r="A313" s="7"/>
    </row>
    <row r="314" spans="1:1" ht="15.75" customHeight="1">
      <c r="A314" s="7"/>
    </row>
    <row r="315" spans="1:1" ht="15.75" customHeight="1">
      <c r="A315" s="7"/>
    </row>
    <row r="316" spans="1:1" ht="15.75" customHeight="1">
      <c r="A316" s="7"/>
    </row>
    <row r="317" spans="1:1" ht="15.75" customHeight="1">
      <c r="A317" s="7"/>
    </row>
    <row r="318" spans="1:1" ht="15.75" customHeight="1">
      <c r="A318" s="7"/>
    </row>
    <row r="319" spans="1:1" ht="15.75" customHeight="1">
      <c r="A319" s="7"/>
    </row>
    <row r="320" spans="1:1" ht="15.75" customHeight="1">
      <c r="A320" s="7"/>
    </row>
    <row r="321" spans="1:1" ht="15.75" customHeight="1">
      <c r="A321" s="7"/>
    </row>
    <row r="322" spans="1:1" ht="15.75" customHeight="1">
      <c r="A322" s="7"/>
    </row>
    <row r="323" spans="1:1" ht="15.75" customHeight="1">
      <c r="A323" s="7"/>
    </row>
    <row r="324" spans="1:1" ht="15.75" customHeight="1">
      <c r="A324" s="7"/>
    </row>
    <row r="325" spans="1:1" ht="15.75" customHeight="1">
      <c r="A325" s="7"/>
    </row>
    <row r="326" spans="1:1" ht="15.75" customHeight="1">
      <c r="A326" s="7"/>
    </row>
    <row r="327" spans="1:1" ht="15.75" customHeight="1">
      <c r="A327" s="7"/>
    </row>
    <row r="328" spans="1:1" ht="15.75" customHeight="1">
      <c r="A328" s="7"/>
    </row>
    <row r="329" spans="1:1" ht="15.75" customHeight="1">
      <c r="A329" s="7"/>
    </row>
    <row r="330" spans="1:1" ht="15.75" customHeight="1">
      <c r="A330" s="7"/>
    </row>
    <row r="331" spans="1:1" ht="15.75" customHeight="1">
      <c r="A331" s="7"/>
    </row>
    <row r="332" spans="1:1" ht="15.75" customHeight="1">
      <c r="A332" s="7"/>
    </row>
    <row r="333" spans="1:1" ht="15.75" customHeight="1">
      <c r="A333" s="7"/>
    </row>
    <row r="334" spans="1:1" ht="15.75" customHeight="1">
      <c r="A334" s="7"/>
    </row>
    <row r="335" spans="1:1" ht="15.75" customHeight="1">
      <c r="A335" s="7"/>
    </row>
    <row r="336" spans="1:1" ht="15.75" customHeight="1">
      <c r="A336" s="7"/>
    </row>
    <row r="337" spans="1:1" ht="15.75" customHeight="1">
      <c r="A337" s="7"/>
    </row>
    <row r="338" spans="1:1" ht="15.75" customHeight="1">
      <c r="A338" s="7"/>
    </row>
    <row r="339" spans="1:1" ht="15.75" customHeight="1">
      <c r="A339" s="7"/>
    </row>
    <row r="340" spans="1:1" ht="15.75" customHeight="1">
      <c r="A340" s="7"/>
    </row>
    <row r="341" spans="1:1" ht="15.75" customHeight="1">
      <c r="A341" s="7"/>
    </row>
    <row r="342" spans="1:1" ht="15.75" customHeight="1">
      <c r="A342" s="7"/>
    </row>
    <row r="343" spans="1:1" ht="15.75" customHeight="1">
      <c r="A343" s="7"/>
    </row>
    <row r="344" spans="1:1" ht="15.75" customHeight="1">
      <c r="A344" s="7"/>
    </row>
    <row r="345" spans="1:1" ht="15.75" customHeight="1">
      <c r="A345" s="7"/>
    </row>
    <row r="346" spans="1:1" ht="15.75" customHeight="1">
      <c r="A346" s="7"/>
    </row>
    <row r="347" spans="1:1" ht="15.75" customHeight="1">
      <c r="A347" s="7"/>
    </row>
    <row r="348" spans="1:1" ht="15.75" customHeight="1">
      <c r="A348" s="7"/>
    </row>
    <row r="349" spans="1:1" ht="15.75" customHeight="1">
      <c r="A349" s="7"/>
    </row>
    <row r="350" spans="1:1" ht="15.75" customHeight="1">
      <c r="A350" s="7"/>
    </row>
    <row r="351" spans="1:1" ht="15.75" customHeight="1">
      <c r="A351" s="7"/>
    </row>
    <row r="352" spans="1:1" ht="15.75" customHeight="1">
      <c r="A352" s="7"/>
    </row>
    <row r="353" spans="1:1" ht="15.75" customHeight="1">
      <c r="A353" s="7"/>
    </row>
    <row r="354" spans="1:1" ht="15.75" customHeight="1">
      <c r="A354" s="7"/>
    </row>
    <row r="355" spans="1:1" ht="15.75" customHeight="1">
      <c r="A355" s="7"/>
    </row>
    <row r="356" spans="1:1" ht="15.75" customHeight="1">
      <c r="A356" s="7"/>
    </row>
    <row r="357" spans="1:1" ht="15.75" customHeight="1">
      <c r="A357" s="7"/>
    </row>
    <row r="358" spans="1:1" ht="15.75" customHeight="1">
      <c r="A358" s="7"/>
    </row>
    <row r="359" spans="1:1" ht="15.75" customHeight="1">
      <c r="A359" s="7"/>
    </row>
    <row r="360" spans="1:1" ht="15.75" customHeight="1">
      <c r="A360" s="7"/>
    </row>
    <row r="361" spans="1:1" ht="15.75" customHeight="1">
      <c r="A361" s="7"/>
    </row>
    <row r="362" spans="1:1" ht="15.75" customHeight="1">
      <c r="A362" s="7"/>
    </row>
    <row r="363" spans="1:1" ht="15.75" customHeight="1">
      <c r="A363" s="7"/>
    </row>
    <row r="364" spans="1:1" ht="15.75" customHeight="1">
      <c r="A364" s="7"/>
    </row>
    <row r="365" spans="1:1" ht="15.75" customHeight="1">
      <c r="A365" s="7"/>
    </row>
    <row r="366" spans="1:1" ht="15.75" customHeight="1">
      <c r="A366" s="7"/>
    </row>
    <row r="367" spans="1:1" ht="15.75" customHeight="1">
      <c r="A367" s="7"/>
    </row>
    <row r="368" spans="1:1" ht="15.75" customHeight="1">
      <c r="A368" s="7"/>
    </row>
    <row r="369" spans="1:1" ht="15.75" customHeight="1">
      <c r="A369" s="7"/>
    </row>
    <row r="370" spans="1:1" ht="15.75" customHeight="1">
      <c r="A370" s="7"/>
    </row>
    <row r="371" spans="1:1" ht="15.75" customHeight="1">
      <c r="A371" s="7"/>
    </row>
    <row r="372" spans="1:1" ht="15.75" customHeight="1">
      <c r="A372" s="7"/>
    </row>
    <row r="373" spans="1:1" ht="15.75" customHeight="1">
      <c r="A373" s="7"/>
    </row>
    <row r="374" spans="1:1" ht="15.75" customHeight="1">
      <c r="A374" s="7"/>
    </row>
    <row r="375" spans="1:1" ht="15.75" customHeight="1">
      <c r="A375" s="7"/>
    </row>
    <row r="376" spans="1:1" ht="15.75" customHeight="1">
      <c r="A376" s="7"/>
    </row>
    <row r="377" spans="1:1" ht="15.75" customHeight="1">
      <c r="A377" s="7"/>
    </row>
    <row r="378" spans="1:1" ht="15.75" customHeight="1">
      <c r="A378" s="7"/>
    </row>
    <row r="379" spans="1:1" ht="15.75" customHeight="1">
      <c r="A379" s="7"/>
    </row>
    <row r="380" spans="1:1" ht="15.75" customHeight="1">
      <c r="A380" s="7"/>
    </row>
    <row r="381" spans="1:1" ht="15.75" customHeight="1">
      <c r="A381" s="7"/>
    </row>
    <row r="382" spans="1:1" ht="15.75" customHeight="1">
      <c r="A382" s="7"/>
    </row>
    <row r="383" spans="1:1" ht="15.75" customHeight="1">
      <c r="A383" s="7"/>
    </row>
    <row r="384" spans="1:1" ht="15.75" customHeight="1">
      <c r="A384" s="7"/>
    </row>
    <row r="385" spans="1:1" ht="15.75" customHeight="1">
      <c r="A385" s="7"/>
    </row>
    <row r="386" spans="1:1" ht="15.75" customHeight="1">
      <c r="A386" s="7"/>
    </row>
    <row r="387" spans="1:1" ht="15.75" customHeight="1">
      <c r="A387" s="7"/>
    </row>
    <row r="388" spans="1:1" ht="15.75" customHeight="1">
      <c r="A388" s="7"/>
    </row>
    <row r="389" spans="1:1" ht="15.75" customHeight="1">
      <c r="A389" s="7"/>
    </row>
    <row r="390" spans="1:1" ht="15.75" customHeight="1">
      <c r="A390" s="7"/>
    </row>
    <row r="391" spans="1:1" ht="15.75" customHeight="1">
      <c r="A391" s="7"/>
    </row>
    <row r="392" spans="1:1" ht="15.75" customHeight="1">
      <c r="A392" s="7"/>
    </row>
    <row r="393" spans="1:1" ht="15.75" customHeight="1">
      <c r="A393" s="7"/>
    </row>
    <row r="394" spans="1:1" ht="15.75" customHeight="1">
      <c r="A394" s="7"/>
    </row>
    <row r="395" spans="1:1" ht="15.75" customHeight="1">
      <c r="A395" s="7"/>
    </row>
    <row r="396" spans="1:1" ht="15.75" customHeight="1">
      <c r="A396" s="7"/>
    </row>
    <row r="397" spans="1:1" ht="15.75" customHeight="1">
      <c r="A397" s="7"/>
    </row>
    <row r="398" spans="1:1" ht="15.75" customHeight="1">
      <c r="A398" s="7"/>
    </row>
    <row r="399" spans="1:1" ht="15.75" customHeight="1">
      <c r="A399" s="7"/>
    </row>
    <row r="400" spans="1:1" ht="15.75" customHeight="1">
      <c r="A400" s="7"/>
    </row>
    <row r="401" spans="1:1" ht="15.75" customHeight="1">
      <c r="A401" s="7"/>
    </row>
    <row r="402" spans="1:1" ht="15.75" customHeight="1">
      <c r="A402" s="7"/>
    </row>
    <row r="403" spans="1:1" ht="15.75" customHeight="1">
      <c r="A403" s="7"/>
    </row>
    <row r="404" spans="1:1" ht="15.75" customHeight="1">
      <c r="A404" s="7"/>
    </row>
    <row r="405" spans="1:1" ht="15.75" customHeight="1">
      <c r="A405" s="7"/>
    </row>
    <row r="406" spans="1:1" ht="15.75" customHeight="1">
      <c r="A406" s="7"/>
    </row>
    <row r="407" spans="1:1" ht="15.75" customHeight="1">
      <c r="A407" s="7"/>
    </row>
    <row r="408" spans="1:1" ht="15.75" customHeight="1">
      <c r="A408" s="7"/>
    </row>
    <row r="409" spans="1:1" ht="15.75" customHeight="1">
      <c r="A409" s="7"/>
    </row>
    <row r="410" spans="1:1" ht="15.75" customHeight="1">
      <c r="A410" s="7"/>
    </row>
    <row r="411" spans="1:1" ht="15.75" customHeight="1">
      <c r="A411" s="7"/>
    </row>
    <row r="412" spans="1:1" ht="15.75" customHeight="1">
      <c r="A412" s="7"/>
    </row>
    <row r="413" spans="1:1" ht="15.75" customHeight="1">
      <c r="A413" s="7"/>
    </row>
    <row r="414" spans="1:1" ht="15.75" customHeight="1">
      <c r="A414" s="7"/>
    </row>
    <row r="415" spans="1:1" ht="15.75" customHeight="1">
      <c r="A415" s="7"/>
    </row>
    <row r="416" spans="1:1" ht="15.75" customHeight="1">
      <c r="A416" s="7"/>
    </row>
    <row r="417" spans="1:1" ht="15.75" customHeight="1">
      <c r="A417" s="7"/>
    </row>
    <row r="418" spans="1:1" ht="15.75" customHeight="1">
      <c r="A418" s="7"/>
    </row>
    <row r="419" spans="1:1" ht="15.75" customHeight="1">
      <c r="A419" s="7"/>
    </row>
    <row r="420" spans="1:1" ht="15.75" customHeight="1">
      <c r="A420" s="7"/>
    </row>
    <row r="421" spans="1:1" ht="15.75" customHeight="1">
      <c r="A421" s="7"/>
    </row>
    <row r="422" spans="1:1" ht="15.75" customHeight="1">
      <c r="A422" s="7"/>
    </row>
    <row r="423" spans="1:1" ht="15.75" customHeight="1">
      <c r="A423" s="7"/>
    </row>
    <row r="424" spans="1:1" ht="15.75" customHeight="1">
      <c r="A424" s="7"/>
    </row>
    <row r="425" spans="1:1" ht="15.75" customHeight="1">
      <c r="A425" s="7"/>
    </row>
    <row r="426" spans="1:1" ht="15.75" customHeight="1">
      <c r="A426" s="7"/>
    </row>
    <row r="427" spans="1:1" ht="15.75" customHeight="1">
      <c r="A427" s="7"/>
    </row>
    <row r="428" spans="1:1" ht="15.75" customHeight="1">
      <c r="A428" s="7"/>
    </row>
    <row r="429" spans="1:1" ht="15.75" customHeight="1">
      <c r="A429" s="7"/>
    </row>
    <row r="430" spans="1:1" ht="15.75" customHeight="1">
      <c r="A430" s="7"/>
    </row>
    <row r="431" spans="1:1" ht="15.75" customHeight="1">
      <c r="A431" s="7"/>
    </row>
    <row r="432" spans="1:1" ht="15.75" customHeight="1">
      <c r="A432" s="7"/>
    </row>
    <row r="433" spans="1:1" ht="15.75" customHeight="1">
      <c r="A433" s="7"/>
    </row>
    <row r="434" spans="1:1" ht="15.75" customHeight="1">
      <c r="A434" s="7"/>
    </row>
    <row r="435" spans="1:1" ht="15.75" customHeight="1">
      <c r="A435" s="7"/>
    </row>
    <row r="436" spans="1:1" ht="15.75" customHeight="1">
      <c r="A436" s="7"/>
    </row>
    <row r="437" spans="1:1" ht="15.75" customHeight="1">
      <c r="A437" s="7"/>
    </row>
    <row r="438" spans="1:1" ht="15.75" customHeight="1">
      <c r="A438" s="7"/>
    </row>
    <row r="439" spans="1:1" ht="15.75" customHeight="1">
      <c r="A439" s="7"/>
    </row>
    <row r="440" spans="1:1" ht="15.75" customHeight="1">
      <c r="A440" s="7"/>
    </row>
    <row r="441" spans="1:1" ht="15.75" customHeight="1">
      <c r="A441" s="7"/>
    </row>
    <row r="442" spans="1:1" ht="15.75" customHeight="1">
      <c r="A442" s="7"/>
    </row>
    <row r="443" spans="1:1" ht="15.75" customHeight="1">
      <c r="A443" s="7"/>
    </row>
    <row r="444" spans="1:1" ht="15.75" customHeight="1">
      <c r="A444" s="7"/>
    </row>
    <row r="445" spans="1:1" ht="15.75" customHeight="1">
      <c r="A445" s="7"/>
    </row>
    <row r="446" spans="1:1" ht="15.75" customHeight="1">
      <c r="A446" s="7"/>
    </row>
    <row r="447" spans="1:1" ht="15.75" customHeight="1">
      <c r="A447" s="7"/>
    </row>
    <row r="448" spans="1:1" ht="15.75" customHeight="1">
      <c r="A448" s="7"/>
    </row>
    <row r="449" spans="1:1" ht="15.75" customHeight="1">
      <c r="A449" s="7"/>
    </row>
    <row r="450" spans="1:1" ht="15.75" customHeight="1">
      <c r="A450" s="7"/>
    </row>
    <row r="451" spans="1:1" ht="15.75" customHeight="1">
      <c r="A451" s="7"/>
    </row>
    <row r="452" spans="1:1" ht="15.75" customHeight="1">
      <c r="A452" s="7"/>
    </row>
    <row r="453" spans="1:1" ht="15.75" customHeight="1">
      <c r="A453" s="7"/>
    </row>
    <row r="454" spans="1:1" ht="15.75" customHeight="1">
      <c r="A454" s="7"/>
    </row>
    <row r="455" spans="1:1" ht="15.75" customHeight="1">
      <c r="A455" s="7"/>
    </row>
    <row r="456" spans="1:1" ht="15.75" customHeight="1">
      <c r="A456" s="7"/>
    </row>
    <row r="457" spans="1:1" ht="15.75" customHeight="1">
      <c r="A457" s="7"/>
    </row>
    <row r="458" spans="1:1" ht="15.75" customHeight="1">
      <c r="A458" s="7"/>
    </row>
    <row r="459" spans="1:1" ht="15.75" customHeight="1">
      <c r="A459" s="7"/>
    </row>
    <row r="460" spans="1:1" ht="15.75" customHeight="1">
      <c r="A460" s="7"/>
    </row>
    <row r="461" spans="1:1" ht="15.75" customHeight="1">
      <c r="A461" s="7"/>
    </row>
    <row r="462" spans="1:1" ht="15.75" customHeight="1">
      <c r="A462" s="7"/>
    </row>
    <row r="463" spans="1:1" ht="15.75" customHeight="1">
      <c r="A463" s="7"/>
    </row>
    <row r="464" spans="1:1" ht="15.75" customHeight="1">
      <c r="A464" s="7"/>
    </row>
    <row r="465" spans="1:1" ht="15.75" customHeight="1">
      <c r="A465" s="7"/>
    </row>
    <row r="466" spans="1:1" ht="15.75" customHeight="1">
      <c r="A466" s="7"/>
    </row>
    <row r="467" spans="1:1" ht="15.75" customHeight="1">
      <c r="A467" s="7"/>
    </row>
    <row r="468" spans="1:1" ht="15.75" customHeight="1">
      <c r="A468" s="7"/>
    </row>
    <row r="469" spans="1:1" ht="15.75" customHeight="1">
      <c r="A469" s="7"/>
    </row>
    <row r="470" spans="1:1" ht="15.75" customHeight="1">
      <c r="A470" s="7"/>
    </row>
    <row r="471" spans="1:1" ht="15.75" customHeight="1">
      <c r="A471" s="7"/>
    </row>
    <row r="472" spans="1:1" ht="15.75" customHeight="1">
      <c r="A472" s="7"/>
    </row>
    <row r="473" spans="1:1" ht="15.75" customHeight="1">
      <c r="A473" s="7"/>
    </row>
    <row r="474" spans="1:1" ht="15.75" customHeight="1">
      <c r="A474" s="7"/>
    </row>
    <row r="475" spans="1:1" ht="15.75" customHeight="1">
      <c r="A475" s="7"/>
    </row>
    <row r="476" spans="1:1" ht="15.75" customHeight="1">
      <c r="A476" s="7"/>
    </row>
    <row r="477" spans="1:1" ht="15.75" customHeight="1">
      <c r="A477" s="7"/>
    </row>
    <row r="478" spans="1:1" ht="15.75" customHeight="1">
      <c r="A478" s="7"/>
    </row>
    <row r="479" spans="1:1" ht="15.75" customHeight="1">
      <c r="A479" s="7"/>
    </row>
    <row r="480" spans="1:1" ht="15.75" customHeight="1">
      <c r="A480" s="7"/>
    </row>
    <row r="481" spans="1:1" ht="15.75" customHeight="1">
      <c r="A481" s="7"/>
    </row>
    <row r="482" spans="1:1" ht="15.75" customHeight="1">
      <c r="A482" s="7"/>
    </row>
    <row r="483" spans="1:1" ht="15.75" customHeight="1">
      <c r="A483" s="7"/>
    </row>
    <row r="484" spans="1:1" ht="15.75" customHeight="1">
      <c r="A484" s="7"/>
    </row>
    <row r="485" spans="1:1" ht="15.75" customHeight="1">
      <c r="A485" s="7"/>
    </row>
    <row r="486" spans="1:1" ht="15.75" customHeight="1">
      <c r="A486" s="7"/>
    </row>
    <row r="487" spans="1:1" ht="15.75" customHeight="1">
      <c r="A487" s="7"/>
    </row>
    <row r="488" spans="1:1" ht="15.75" customHeight="1">
      <c r="A488" s="7"/>
    </row>
    <row r="489" spans="1:1" ht="15.75" customHeight="1">
      <c r="A489" s="7"/>
    </row>
    <row r="490" spans="1:1" ht="15.75" customHeight="1">
      <c r="A490" s="7"/>
    </row>
    <row r="491" spans="1:1" ht="15.75" customHeight="1">
      <c r="A491" s="7"/>
    </row>
    <row r="492" spans="1:1" ht="15.75" customHeight="1">
      <c r="A492" s="7"/>
    </row>
    <row r="493" spans="1:1" ht="15.75" customHeight="1">
      <c r="A493" s="7"/>
    </row>
    <row r="494" spans="1:1" ht="15.75" customHeight="1">
      <c r="A494" s="7"/>
    </row>
    <row r="495" spans="1:1" ht="15.75" customHeight="1">
      <c r="A495" s="7"/>
    </row>
    <row r="496" spans="1:1" ht="15.75" customHeight="1">
      <c r="A496" s="7"/>
    </row>
    <row r="497" spans="1:1" ht="15.75" customHeight="1">
      <c r="A497" s="7"/>
    </row>
    <row r="498" spans="1:1" ht="15.75" customHeight="1">
      <c r="A498" s="7"/>
    </row>
    <row r="499" spans="1:1" ht="15.75" customHeight="1">
      <c r="A499" s="7"/>
    </row>
    <row r="500" spans="1:1" ht="15.75" customHeight="1">
      <c r="A500" s="7"/>
    </row>
    <row r="501" spans="1:1" ht="15.75" customHeight="1">
      <c r="A501" s="7"/>
    </row>
    <row r="502" spans="1:1" ht="15.75" customHeight="1">
      <c r="A502" s="7"/>
    </row>
    <row r="503" spans="1:1" ht="15.75" customHeight="1">
      <c r="A503" s="7"/>
    </row>
    <row r="504" spans="1:1" ht="15.75" customHeight="1">
      <c r="A504" s="7"/>
    </row>
    <row r="505" spans="1:1" ht="15.75" customHeight="1">
      <c r="A505" s="7"/>
    </row>
    <row r="506" spans="1:1" ht="15.75" customHeight="1">
      <c r="A506" s="7"/>
    </row>
    <row r="507" spans="1:1" ht="15.75" customHeight="1">
      <c r="A507" s="7"/>
    </row>
    <row r="508" spans="1:1" ht="15.75" customHeight="1">
      <c r="A508" s="7"/>
    </row>
    <row r="509" spans="1:1" ht="15.75" customHeight="1">
      <c r="A509" s="7"/>
    </row>
    <row r="510" spans="1:1" ht="15.75" customHeight="1">
      <c r="A510" s="7"/>
    </row>
    <row r="511" spans="1:1" ht="15.75" customHeight="1">
      <c r="A511" s="7"/>
    </row>
    <row r="512" spans="1:1" ht="15.75" customHeight="1">
      <c r="A512" s="7"/>
    </row>
    <row r="513" spans="1:1" ht="15.75" customHeight="1">
      <c r="A513" s="7"/>
    </row>
    <row r="514" spans="1:1" ht="15.75" customHeight="1">
      <c r="A514" s="7"/>
    </row>
    <row r="515" spans="1:1" ht="15.75" customHeight="1">
      <c r="A515" s="7"/>
    </row>
    <row r="516" spans="1:1" ht="15.75" customHeight="1">
      <c r="A516" s="7"/>
    </row>
    <row r="517" spans="1:1" ht="15.75" customHeight="1">
      <c r="A517" s="7"/>
    </row>
    <row r="518" spans="1:1" ht="15.75" customHeight="1">
      <c r="A518" s="7"/>
    </row>
    <row r="519" spans="1:1" ht="15.75" customHeight="1">
      <c r="A519" s="7"/>
    </row>
    <row r="520" spans="1:1" ht="15.75" customHeight="1">
      <c r="A520" s="7"/>
    </row>
    <row r="521" spans="1:1" ht="15.75" customHeight="1">
      <c r="A521" s="7"/>
    </row>
    <row r="522" spans="1:1" ht="15.75" customHeight="1">
      <c r="A522" s="7"/>
    </row>
    <row r="523" spans="1:1" ht="15.75" customHeight="1">
      <c r="A523" s="7"/>
    </row>
    <row r="524" spans="1:1" ht="15.75" customHeight="1">
      <c r="A524" s="7"/>
    </row>
    <row r="525" spans="1:1" ht="15.75" customHeight="1">
      <c r="A525" s="7"/>
    </row>
    <row r="526" spans="1:1" ht="15.75" customHeight="1">
      <c r="A526" s="7"/>
    </row>
    <row r="527" spans="1:1" ht="15.75" customHeight="1">
      <c r="A527" s="7"/>
    </row>
    <row r="528" spans="1:1" ht="15.75" customHeight="1">
      <c r="A528" s="7"/>
    </row>
    <row r="529" spans="1:1" ht="15.75" customHeight="1">
      <c r="A529" s="7"/>
    </row>
    <row r="530" spans="1:1" ht="15.75" customHeight="1">
      <c r="A530" s="7"/>
    </row>
    <row r="531" spans="1:1" ht="15.75" customHeight="1">
      <c r="A531" s="7"/>
    </row>
    <row r="532" spans="1:1" ht="15.75" customHeight="1">
      <c r="A532" s="7"/>
    </row>
    <row r="533" spans="1:1" ht="15.75" customHeight="1">
      <c r="A533" s="7"/>
    </row>
    <row r="534" spans="1:1" ht="15.75" customHeight="1">
      <c r="A534" s="7"/>
    </row>
    <row r="535" spans="1:1" ht="15.75" customHeight="1">
      <c r="A535" s="7"/>
    </row>
    <row r="536" spans="1:1" ht="15.75" customHeight="1">
      <c r="A536" s="7"/>
    </row>
    <row r="537" spans="1:1" ht="15.75" customHeight="1">
      <c r="A537" s="7"/>
    </row>
    <row r="538" spans="1:1" ht="15.75" customHeight="1">
      <c r="A538" s="7"/>
    </row>
    <row r="539" spans="1:1" ht="15.75" customHeight="1">
      <c r="A539" s="7"/>
    </row>
    <row r="540" spans="1:1" ht="15.75" customHeight="1">
      <c r="A540" s="7"/>
    </row>
    <row r="541" spans="1:1" ht="15.75" customHeight="1">
      <c r="A541" s="7"/>
    </row>
    <row r="542" spans="1:1" ht="15.75" customHeight="1">
      <c r="A542" s="7"/>
    </row>
    <row r="543" spans="1:1" ht="15.75" customHeight="1">
      <c r="A543" s="7"/>
    </row>
    <row r="544" spans="1:1" ht="15.75" customHeight="1">
      <c r="A544" s="7"/>
    </row>
    <row r="545" spans="1:1" ht="15.75" customHeight="1">
      <c r="A545" s="7"/>
    </row>
    <row r="546" spans="1:1" ht="15.75" customHeight="1">
      <c r="A546" s="7"/>
    </row>
    <row r="547" spans="1:1" ht="15.75" customHeight="1">
      <c r="A547" s="7"/>
    </row>
    <row r="548" spans="1:1" ht="15.75" customHeight="1">
      <c r="A548" s="7"/>
    </row>
    <row r="549" spans="1:1" ht="15.75" customHeight="1">
      <c r="A549" s="7"/>
    </row>
    <row r="550" spans="1:1" ht="15.75" customHeight="1">
      <c r="A550" s="7"/>
    </row>
    <row r="551" spans="1:1" ht="15.75" customHeight="1">
      <c r="A551" s="7"/>
    </row>
    <row r="552" spans="1:1" ht="15.75" customHeight="1">
      <c r="A552" s="7"/>
    </row>
    <row r="553" spans="1:1" ht="15.75" customHeight="1">
      <c r="A553" s="7"/>
    </row>
    <row r="554" spans="1:1" ht="15.75" customHeight="1">
      <c r="A554" s="7"/>
    </row>
    <row r="555" spans="1:1" ht="15.75" customHeight="1">
      <c r="A555" s="7"/>
    </row>
    <row r="556" spans="1:1" ht="15.75" customHeight="1">
      <c r="A556" s="7"/>
    </row>
    <row r="557" spans="1:1" ht="15.75" customHeight="1">
      <c r="A557" s="7"/>
    </row>
    <row r="558" spans="1:1" ht="15.75" customHeight="1">
      <c r="A558" s="7"/>
    </row>
    <row r="559" spans="1:1" ht="15.75" customHeight="1">
      <c r="A559" s="7"/>
    </row>
    <row r="560" spans="1:1" ht="15.75" customHeight="1">
      <c r="A560" s="7"/>
    </row>
    <row r="561" spans="1:1" ht="15.75" customHeight="1">
      <c r="A561" s="7"/>
    </row>
    <row r="562" spans="1:1" ht="15.75" customHeight="1">
      <c r="A562" s="7"/>
    </row>
    <row r="563" spans="1:1" ht="15.75" customHeight="1">
      <c r="A563" s="7"/>
    </row>
    <row r="564" spans="1:1" ht="15.75" customHeight="1">
      <c r="A564" s="7"/>
    </row>
    <row r="565" spans="1:1" ht="15.75" customHeight="1">
      <c r="A565" s="7"/>
    </row>
    <row r="566" spans="1:1" ht="15.75" customHeight="1">
      <c r="A566" s="7"/>
    </row>
    <row r="567" spans="1:1" ht="15.75" customHeight="1">
      <c r="A567" s="7"/>
    </row>
    <row r="568" spans="1:1" ht="15.75" customHeight="1">
      <c r="A568" s="7"/>
    </row>
    <row r="569" spans="1:1" ht="15.75" customHeight="1">
      <c r="A569" s="7"/>
    </row>
    <row r="570" spans="1:1" ht="15.75" customHeight="1">
      <c r="A570" s="7"/>
    </row>
    <row r="571" spans="1:1" ht="15.75" customHeight="1">
      <c r="A571" s="7"/>
    </row>
    <row r="572" spans="1:1" ht="15.75" customHeight="1">
      <c r="A572" s="7"/>
    </row>
    <row r="573" spans="1:1" ht="15.75" customHeight="1">
      <c r="A573" s="7"/>
    </row>
    <row r="574" spans="1:1" ht="15.75" customHeight="1">
      <c r="A574" s="7"/>
    </row>
    <row r="575" spans="1:1" ht="15.75" customHeight="1">
      <c r="A575" s="7"/>
    </row>
    <row r="576" spans="1:1" ht="15.75" customHeight="1">
      <c r="A576" s="7"/>
    </row>
    <row r="577" spans="1:1" ht="15.75" customHeight="1">
      <c r="A577" s="7"/>
    </row>
    <row r="578" spans="1:1" ht="15.75" customHeight="1">
      <c r="A578" s="7"/>
    </row>
    <row r="579" spans="1:1" ht="15.75" customHeight="1">
      <c r="A579" s="7"/>
    </row>
    <row r="580" spans="1:1" ht="15.75" customHeight="1">
      <c r="A580" s="7"/>
    </row>
    <row r="581" spans="1:1" ht="15.75" customHeight="1">
      <c r="A581" s="7"/>
    </row>
    <row r="582" spans="1:1" ht="15.75" customHeight="1">
      <c r="A582" s="7"/>
    </row>
    <row r="583" spans="1:1" ht="15.75" customHeight="1">
      <c r="A583" s="7"/>
    </row>
    <row r="584" spans="1:1" ht="15.75" customHeight="1">
      <c r="A584" s="7"/>
    </row>
    <row r="585" spans="1:1" ht="15.75" customHeight="1">
      <c r="A585" s="7"/>
    </row>
    <row r="586" spans="1:1" ht="15.75" customHeight="1">
      <c r="A586" s="7"/>
    </row>
    <row r="587" spans="1:1" ht="15.75" customHeight="1">
      <c r="A587" s="7"/>
    </row>
    <row r="588" spans="1:1" ht="15.75" customHeight="1">
      <c r="A588" s="7"/>
    </row>
    <row r="589" spans="1:1" ht="15.75" customHeight="1">
      <c r="A589" s="7"/>
    </row>
    <row r="590" spans="1:1" ht="15.75" customHeight="1">
      <c r="A590" s="7"/>
    </row>
    <row r="591" spans="1:1" ht="15.75" customHeight="1">
      <c r="A591" s="7"/>
    </row>
    <row r="592" spans="1:1" ht="15.75" customHeight="1">
      <c r="A592" s="7"/>
    </row>
    <row r="593" spans="1:1" ht="15.75" customHeight="1">
      <c r="A593" s="7"/>
    </row>
    <row r="594" spans="1:1" ht="15.75" customHeight="1">
      <c r="A594" s="7"/>
    </row>
    <row r="595" spans="1:1" ht="15.75" customHeight="1">
      <c r="A595" s="7"/>
    </row>
    <row r="596" spans="1:1" ht="15.75" customHeight="1">
      <c r="A596" s="7"/>
    </row>
    <row r="597" spans="1:1" ht="15.75" customHeight="1">
      <c r="A597" s="7"/>
    </row>
    <row r="598" spans="1:1" ht="15.75" customHeight="1">
      <c r="A598" s="7"/>
    </row>
    <row r="599" spans="1:1" ht="15.75" customHeight="1">
      <c r="A599" s="7"/>
    </row>
    <row r="600" spans="1:1" ht="15.75" customHeight="1">
      <c r="A600" s="7"/>
    </row>
    <row r="601" spans="1:1" ht="15.75" customHeight="1">
      <c r="A601" s="7"/>
    </row>
    <row r="602" spans="1:1" ht="15.75" customHeight="1">
      <c r="A602" s="7"/>
    </row>
    <row r="603" spans="1:1" ht="15.75" customHeight="1">
      <c r="A603" s="7"/>
    </row>
    <row r="604" spans="1:1" ht="15.75" customHeight="1">
      <c r="A604" s="7"/>
    </row>
    <row r="605" spans="1:1" ht="15.75" customHeight="1">
      <c r="A605" s="7"/>
    </row>
    <row r="606" spans="1:1" ht="15.75" customHeight="1">
      <c r="A606" s="7"/>
    </row>
    <row r="607" spans="1:1" ht="15.75" customHeight="1">
      <c r="A607" s="7"/>
    </row>
    <row r="608" spans="1:1" ht="15.75" customHeight="1">
      <c r="A608" s="7"/>
    </row>
    <row r="609" spans="1:1" ht="15.75" customHeight="1">
      <c r="A609" s="7"/>
    </row>
    <row r="610" spans="1:1" ht="15.75" customHeight="1">
      <c r="A610" s="7"/>
    </row>
    <row r="611" spans="1:1" ht="15.75" customHeight="1">
      <c r="A611" s="7"/>
    </row>
    <row r="612" spans="1:1" ht="15.75" customHeight="1">
      <c r="A612" s="7"/>
    </row>
    <row r="613" spans="1:1" ht="15.75" customHeight="1">
      <c r="A613" s="7"/>
    </row>
    <row r="614" spans="1:1" ht="15.75" customHeight="1">
      <c r="A614" s="7"/>
    </row>
    <row r="615" spans="1:1" ht="15.75" customHeight="1">
      <c r="A615" s="7"/>
    </row>
    <row r="616" spans="1:1" ht="15.75" customHeight="1">
      <c r="A616" s="7"/>
    </row>
    <row r="617" spans="1:1" ht="15.75" customHeight="1">
      <c r="A617" s="7"/>
    </row>
    <row r="618" spans="1:1" ht="15.75" customHeight="1">
      <c r="A618" s="7"/>
    </row>
    <row r="619" spans="1:1" ht="15.75" customHeight="1">
      <c r="A619" s="7"/>
    </row>
    <row r="620" spans="1:1" ht="15.75" customHeight="1">
      <c r="A620" s="7"/>
    </row>
    <row r="621" spans="1:1" ht="15.75" customHeight="1">
      <c r="A621" s="7"/>
    </row>
    <row r="622" spans="1:1" ht="15.75" customHeight="1">
      <c r="A622" s="7"/>
    </row>
    <row r="623" spans="1:1" ht="15.75" customHeight="1">
      <c r="A623" s="7"/>
    </row>
    <row r="624" spans="1:1" ht="15.75" customHeight="1">
      <c r="A624" s="7"/>
    </row>
    <row r="625" spans="1:1" ht="15.75" customHeight="1">
      <c r="A625" s="7"/>
    </row>
    <row r="626" spans="1:1" ht="15.75" customHeight="1">
      <c r="A626" s="7"/>
    </row>
    <row r="627" spans="1:1" ht="15.75" customHeight="1">
      <c r="A627" s="7"/>
    </row>
    <row r="628" spans="1:1" ht="15.75" customHeight="1">
      <c r="A628" s="7"/>
    </row>
    <row r="629" spans="1:1" ht="15.75" customHeight="1">
      <c r="A629" s="7"/>
    </row>
    <row r="630" spans="1:1" ht="15.75" customHeight="1">
      <c r="A630" s="7"/>
    </row>
    <row r="631" spans="1:1" ht="15.75" customHeight="1">
      <c r="A631" s="7"/>
    </row>
    <row r="632" spans="1:1" ht="15.75" customHeight="1">
      <c r="A632" s="7"/>
    </row>
    <row r="633" spans="1:1" ht="15.75" customHeight="1">
      <c r="A633" s="7"/>
    </row>
    <row r="634" spans="1:1" ht="15.75" customHeight="1">
      <c r="A634" s="7"/>
    </row>
    <row r="635" spans="1:1" ht="15.75" customHeight="1">
      <c r="A635" s="7"/>
    </row>
    <row r="636" spans="1:1" ht="15.75" customHeight="1">
      <c r="A636" s="7"/>
    </row>
    <row r="637" spans="1:1" ht="15.75" customHeight="1">
      <c r="A637" s="7"/>
    </row>
    <row r="638" spans="1:1" ht="15.75" customHeight="1">
      <c r="A638" s="7"/>
    </row>
    <row r="639" spans="1:1" ht="15.75" customHeight="1">
      <c r="A639" s="7"/>
    </row>
    <row r="640" spans="1:1" ht="15.75" customHeight="1">
      <c r="A640" s="7"/>
    </row>
    <row r="641" spans="1:1" ht="15.75" customHeight="1">
      <c r="A641" s="7"/>
    </row>
    <row r="642" spans="1:1" ht="15.75" customHeight="1">
      <c r="A642" s="7"/>
    </row>
    <row r="643" spans="1:1" ht="15.75" customHeight="1">
      <c r="A643" s="7"/>
    </row>
    <row r="644" spans="1:1" ht="15.75" customHeight="1">
      <c r="A644" s="7"/>
    </row>
    <row r="645" spans="1:1" ht="15.75" customHeight="1">
      <c r="A645" s="7"/>
    </row>
    <row r="646" spans="1:1" ht="15.75" customHeight="1">
      <c r="A646" s="7"/>
    </row>
    <row r="647" spans="1:1" ht="15.75" customHeight="1">
      <c r="A647" s="7"/>
    </row>
    <row r="648" spans="1:1" ht="15.75" customHeight="1">
      <c r="A648" s="7"/>
    </row>
    <row r="649" spans="1:1" ht="15.75" customHeight="1">
      <c r="A649" s="7"/>
    </row>
    <row r="650" spans="1:1" ht="15.75" customHeight="1">
      <c r="A650" s="7"/>
    </row>
    <row r="651" spans="1:1" ht="15.75" customHeight="1">
      <c r="A651" s="7"/>
    </row>
    <row r="652" spans="1:1" ht="15.75" customHeight="1">
      <c r="A652" s="7"/>
    </row>
    <row r="653" spans="1:1" ht="15.75" customHeight="1">
      <c r="A653" s="7"/>
    </row>
    <row r="654" spans="1:1" ht="15.75" customHeight="1">
      <c r="A654" s="7"/>
    </row>
    <row r="655" spans="1:1" ht="15.75" customHeight="1">
      <c r="A655" s="7"/>
    </row>
    <row r="656" spans="1:1" ht="15.75" customHeight="1">
      <c r="A656" s="7"/>
    </row>
    <row r="657" spans="1:1" ht="15.75" customHeight="1">
      <c r="A657" s="7"/>
    </row>
    <row r="658" spans="1:1" ht="15.75" customHeight="1">
      <c r="A658" s="7"/>
    </row>
    <row r="659" spans="1:1" ht="15.75" customHeight="1">
      <c r="A659" s="7"/>
    </row>
    <row r="660" spans="1:1" ht="15.75" customHeight="1">
      <c r="A660" s="7"/>
    </row>
    <row r="661" spans="1:1" ht="15.75" customHeight="1">
      <c r="A661" s="7"/>
    </row>
    <row r="662" spans="1:1" ht="15.75" customHeight="1">
      <c r="A662" s="7"/>
    </row>
    <row r="663" spans="1:1" ht="15.75" customHeight="1">
      <c r="A663" s="7"/>
    </row>
    <row r="664" spans="1:1" ht="15.75" customHeight="1">
      <c r="A664" s="7"/>
    </row>
    <row r="665" spans="1:1" ht="15.75" customHeight="1">
      <c r="A665" s="7"/>
    </row>
    <row r="666" spans="1:1" ht="15.75" customHeight="1">
      <c r="A666" s="7"/>
    </row>
    <row r="667" spans="1:1" ht="15.75" customHeight="1">
      <c r="A667" s="7"/>
    </row>
    <row r="668" spans="1:1" ht="15.75" customHeight="1">
      <c r="A668" s="7"/>
    </row>
    <row r="669" spans="1:1" ht="15.75" customHeight="1">
      <c r="A669" s="7"/>
    </row>
    <row r="670" spans="1:1" ht="15.75" customHeight="1">
      <c r="A670" s="7"/>
    </row>
    <row r="671" spans="1:1" ht="15.75" customHeight="1">
      <c r="A671" s="7"/>
    </row>
    <row r="672" spans="1:1" ht="15.75" customHeight="1">
      <c r="A672" s="7"/>
    </row>
    <row r="673" spans="1:1" ht="15.75" customHeight="1">
      <c r="A673" s="7"/>
    </row>
    <row r="674" spans="1:1" ht="15.75" customHeight="1">
      <c r="A674" s="7"/>
    </row>
    <row r="675" spans="1:1" ht="15.75" customHeight="1">
      <c r="A675" s="7"/>
    </row>
    <row r="676" spans="1:1" ht="15.75" customHeight="1">
      <c r="A676" s="7"/>
    </row>
    <row r="677" spans="1:1" ht="15.75" customHeight="1">
      <c r="A677" s="7"/>
    </row>
    <row r="678" spans="1:1" ht="15.75" customHeight="1">
      <c r="A678" s="7"/>
    </row>
    <row r="679" spans="1:1" ht="15.75" customHeight="1">
      <c r="A679" s="7"/>
    </row>
    <row r="680" spans="1:1" ht="15.75" customHeight="1">
      <c r="A680" s="7"/>
    </row>
    <row r="681" spans="1:1" ht="15.75" customHeight="1">
      <c r="A681" s="7"/>
    </row>
    <row r="682" spans="1:1" ht="15.75" customHeight="1">
      <c r="A682" s="7"/>
    </row>
    <row r="683" spans="1:1" ht="15.75" customHeight="1">
      <c r="A683" s="7"/>
    </row>
    <row r="684" spans="1:1" ht="15.75" customHeight="1">
      <c r="A684" s="7"/>
    </row>
    <row r="685" spans="1:1" ht="15.75" customHeight="1">
      <c r="A685" s="7"/>
    </row>
    <row r="686" spans="1:1" ht="15.75" customHeight="1">
      <c r="A686" s="7"/>
    </row>
    <row r="687" spans="1:1" ht="15.75" customHeight="1">
      <c r="A687" s="7"/>
    </row>
    <row r="688" spans="1:1" ht="15.75" customHeight="1">
      <c r="A688" s="7"/>
    </row>
    <row r="689" spans="1:1" ht="15.75" customHeight="1">
      <c r="A689" s="7"/>
    </row>
    <row r="690" spans="1:1" ht="15.75" customHeight="1">
      <c r="A690" s="7"/>
    </row>
    <row r="691" spans="1:1" ht="15.75" customHeight="1">
      <c r="A691" s="7"/>
    </row>
    <row r="692" spans="1:1" ht="15.75" customHeight="1">
      <c r="A692" s="7"/>
    </row>
    <row r="693" spans="1:1" ht="15.75" customHeight="1">
      <c r="A693" s="7"/>
    </row>
    <row r="694" spans="1:1" ht="15.75" customHeight="1">
      <c r="A694" s="7"/>
    </row>
    <row r="695" spans="1:1" ht="15.75" customHeight="1">
      <c r="A695" s="7"/>
    </row>
    <row r="696" spans="1:1" ht="15.75" customHeight="1">
      <c r="A696" s="7"/>
    </row>
    <row r="697" spans="1:1" ht="15.75" customHeight="1">
      <c r="A697" s="7"/>
    </row>
    <row r="698" spans="1:1" ht="15.75" customHeight="1">
      <c r="A698" s="7"/>
    </row>
    <row r="699" spans="1:1" ht="15.75" customHeight="1">
      <c r="A699" s="7"/>
    </row>
    <row r="700" spans="1:1" ht="15.75" customHeight="1">
      <c r="A700" s="7"/>
    </row>
    <row r="701" spans="1:1" ht="15.75" customHeight="1">
      <c r="A701" s="7"/>
    </row>
    <row r="702" spans="1:1" ht="15.75" customHeight="1">
      <c r="A702" s="7"/>
    </row>
    <row r="703" spans="1:1" ht="15.75" customHeight="1">
      <c r="A703" s="7"/>
    </row>
    <row r="704" spans="1:1" ht="15.75" customHeight="1">
      <c r="A704" s="7"/>
    </row>
    <row r="705" spans="1:1" ht="15.75" customHeight="1">
      <c r="A705" s="7"/>
    </row>
    <row r="706" spans="1:1" ht="15.75" customHeight="1">
      <c r="A706" s="7"/>
    </row>
    <row r="707" spans="1:1" ht="15.75" customHeight="1">
      <c r="A707" s="7"/>
    </row>
    <row r="708" spans="1:1" ht="15.75" customHeight="1">
      <c r="A708" s="7"/>
    </row>
    <row r="709" spans="1:1" ht="15.75" customHeight="1">
      <c r="A709" s="7"/>
    </row>
    <row r="710" spans="1:1" ht="15.75" customHeight="1">
      <c r="A710" s="7"/>
    </row>
    <row r="711" spans="1:1" ht="15.75" customHeight="1">
      <c r="A711" s="7"/>
    </row>
    <row r="712" spans="1:1" ht="15.75" customHeight="1">
      <c r="A712" s="7"/>
    </row>
    <row r="713" spans="1:1" ht="15.75" customHeight="1">
      <c r="A713" s="7"/>
    </row>
    <row r="714" spans="1:1" ht="15.75" customHeight="1">
      <c r="A714" s="7"/>
    </row>
    <row r="715" spans="1:1" ht="15.75" customHeight="1">
      <c r="A715" s="7"/>
    </row>
    <row r="716" spans="1:1" ht="15.75" customHeight="1">
      <c r="A716" s="7"/>
    </row>
    <row r="717" spans="1:1" ht="15.75" customHeight="1">
      <c r="A717" s="7"/>
    </row>
    <row r="718" spans="1:1" ht="15.75" customHeight="1">
      <c r="A718" s="7"/>
    </row>
    <row r="719" spans="1:1" ht="15.75" customHeight="1">
      <c r="A719" s="7"/>
    </row>
    <row r="720" spans="1:1" ht="15.75" customHeight="1">
      <c r="A720" s="7"/>
    </row>
    <row r="721" spans="1:1" ht="15.75" customHeight="1">
      <c r="A721" s="7"/>
    </row>
    <row r="722" spans="1:1" ht="15.75" customHeight="1">
      <c r="A722" s="7"/>
    </row>
    <row r="723" spans="1:1" ht="15.75" customHeight="1">
      <c r="A723" s="7"/>
    </row>
    <row r="724" spans="1:1" ht="15.75" customHeight="1">
      <c r="A724" s="7"/>
    </row>
    <row r="725" spans="1:1" ht="15.75" customHeight="1">
      <c r="A725" s="7"/>
    </row>
    <row r="726" spans="1:1" ht="15.75" customHeight="1">
      <c r="A726" s="7"/>
    </row>
    <row r="727" spans="1:1" ht="15.75" customHeight="1">
      <c r="A727" s="7"/>
    </row>
    <row r="728" spans="1:1" ht="15.75" customHeight="1">
      <c r="A728" s="7"/>
    </row>
    <row r="729" spans="1:1" ht="15.75" customHeight="1">
      <c r="A729" s="7"/>
    </row>
    <row r="730" spans="1:1" ht="15.75" customHeight="1">
      <c r="A730" s="7"/>
    </row>
    <row r="731" spans="1:1" ht="15.75" customHeight="1">
      <c r="A731" s="7"/>
    </row>
    <row r="732" spans="1:1" ht="15.75" customHeight="1">
      <c r="A732" s="7"/>
    </row>
    <row r="733" spans="1:1" ht="15.75" customHeight="1">
      <c r="A733" s="7"/>
    </row>
    <row r="734" spans="1:1" ht="15.75" customHeight="1">
      <c r="A734" s="7"/>
    </row>
    <row r="735" spans="1:1" ht="15.75" customHeight="1">
      <c r="A735" s="7"/>
    </row>
    <row r="736" spans="1:1" ht="15.75" customHeight="1">
      <c r="A736" s="7"/>
    </row>
    <row r="737" spans="1:1" ht="15.75" customHeight="1">
      <c r="A737" s="7"/>
    </row>
    <row r="738" spans="1:1" ht="15.75" customHeight="1">
      <c r="A738" s="7"/>
    </row>
    <row r="739" spans="1:1" ht="15.75" customHeight="1">
      <c r="A739" s="7"/>
    </row>
    <row r="740" spans="1:1" ht="15.75" customHeight="1">
      <c r="A740" s="7"/>
    </row>
    <row r="741" spans="1:1" ht="15.75" customHeight="1">
      <c r="A741" s="7"/>
    </row>
    <row r="742" spans="1:1" ht="15.75" customHeight="1">
      <c r="A742" s="7"/>
    </row>
    <row r="743" spans="1:1" ht="15.75" customHeight="1">
      <c r="A743" s="7"/>
    </row>
    <row r="744" spans="1:1" ht="15.75" customHeight="1">
      <c r="A744" s="7"/>
    </row>
    <row r="745" spans="1:1" ht="15.75" customHeight="1">
      <c r="A745" s="7"/>
    </row>
    <row r="746" spans="1:1" ht="15.75" customHeight="1">
      <c r="A746" s="7"/>
    </row>
    <row r="747" spans="1:1" ht="15.75" customHeight="1">
      <c r="A747" s="7"/>
    </row>
    <row r="748" spans="1:1" ht="15.75" customHeight="1">
      <c r="A748" s="7"/>
    </row>
    <row r="749" spans="1:1" ht="15.75" customHeight="1">
      <c r="A749" s="7"/>
    </row>
    <row r="750" spans="1:1" ht="15.75" customHeight="1">
      <c r="A750" s="7"/>
    </row>
    <row r="751" spans="1:1" ht="15.75" customHeight="1">
      <c r="A751" s="7"/>
    </row>
    <row r="752" spans="1:1" ht="15.75" customHeight="1">
      <c r="A752" s="7"/>
    </row>
    <row r="753" spans="1:1" ht="15.75" customHeight="1">
      <c r="A753" s="7"/>
    </row>
    <row r="754" spans="1:1" ht="15.75" customHeight="1">
      <c r="A754" s="7"/>
    </row>
    <row r="755" spans="1:1" ht="15.75" customHeight="1">
      <c r="A755" s="7"/>
    </row>
    <row r="756" spans="1:1" ht="15.75" customHeight="1">
      <c r="A756" s="7"/>
    </row>
    <row r="757" spans="1:1" ht="15.75" customHeight="1">
      <c r="A757" s="7"/>
    </row>
    <row r="758" spans="1:1" ht="15.75" customHeight="1">
      <c r="A758" s="7"/>
    </row>
    <row r="759" spans="1:1" ht="15.75" customHeight="1">
      <c r="A759" s="7"/>
    </row>
    <row r="760" spans="1:1" ht="15.75" customHeight="1">
      <c r="A760" s="7"/>
    </row>
    <row r="761" spans="1:1" ht="15.75" customHeight="1">
      <c r="A761" s="7"/>
    </row>
    <row r="762" spans="1:1" ht="15.75" customHeight="1">
      <c r="A762" s="7"/>
    </row>
    <row r="763" spans="1:1" ht="15.75" customHeight="1">
      <c r="A763" s="7"/>
    </row>
    <row r="764" spans="1:1" ht="15.75" customHeight="1">
      <c r="A764" s="7"/>
    </row>
    <row r="765" spans="1:1" ht="15.75" customHeight="1">
      <c r="A765" s="7"/>
    </row>
    <row r="766" spans="1:1" ht="15.75" customHeight="1">
      <c r="A766" s="7"/>
    </row>
    <row r="767" spans="1:1" ht="15.75" customHeight="1">
      <c r="A767" s="7"/>
    </row>
    <row r="768" spans="1:1" ht="15.75" customHeight="1">
      <c r="A768" s="7"/>
    </row>
    <row r="769" spans="1:1" ht="15.75" customHeight="1">
      <c r="A769" s="7"/>
    </row>
    <row r="770" spans="1:1" ht="15.75" customHeight="1">
      <c r="A770" s="7"/>
    </row>
    <row r="771" spans="1:1" ht="15.75" customHeight="1">
      <c r="A771" s="7"/>
    </row>
    <row r="772" spans="1:1" ht="15.75" customHeight="1">
      <c r="A772" s="7"/>
    </row>
    <row r="773" spans="1:1" ht="15.75" customHeight="1">
      <c r="A773" s="7"/>
    </row>
    <row r="774" spans="1:1" ht="15.75" customHeight="1">
      <c r="A774" s="7"/>
    </row>
    <row r="775" spans="1:1" ht="15.75" customHeight="1">
      <c r="A775" s="7"/>
    </row>
    <row r="776" spans="1:1" ht="15.75" customHeight="1">
      <c r="A776" s="7"/>
    </row>
    <row r="777" spans="1:1" ht="15.75" customHeight="1">
      <c r="A777" s="7"/>
    </row>
    <row r="778" spans="1:1" ht="15.75" customHeight="1">
      <c r="A778" s="7"/>
    </row>
    <row r="779" spans="1:1" ht="15.75" customHeight="1">
      <c r="A779" s="7"/>
    </row>
    <row r="780" spans="1:1" ht="15.75" customHeight="1">
      <c r="A780" s="7"/>
    </row>
    <row r="781" spans="1:1" ht="15.75" customHeight="1">
      <c r="A781" s="7"/>
    </row>
    <row r="782" spans="1:1" ht="15.75" customHeight="1">
      <c r="A782" s="7"/>
    </row>
    <row r="783" spans="1:1" ht="15.75" customHeight="1">
      <c r="A783" s="7"/>
    </row>
    <row r="784" spans="1:1" ht="15.75" customHeight="1">
      <c r="A784" s="7"/>
    </row>
    <row r="785" spans="1:1" ht="15.75" customHeight="1">
      <c r="A785" s="7"/>
    </row>
    <row r="786" spans="1:1" ht="15.75" customHeight="1">
      <c r="A786" s="7"/>
    </row>
    <row r="787" spans="1:1" ht="15.75" customHeight="1">
      <c r="A787" s="7"/>
    </row>
    <row r="788" spans="1:1" ht="15.75" customHeight="1">
      <c r="A788" s="7"/>
    </row>
    <row r="789" spans="1:1" ht="15.75" customHeight="1">
      <c r="A789" s="7"/>
    </row>
    <row r="790" spans="1:1" ht="15.75" customHeight="1">
      <c r="A790" s="7"/>
    </row>
    <row r="791" spans="1:1" ht="15.75" customHeight="1">
      <c r="A791" s="7"/>
    </row>
    <row r="792" spans="1:1" ht="15.75" customHeight="1">
      <c r="A792" s="7"/>
    </row>
    <row r="793" spans="1:1" ht="15.75" customHeight="1">
      <c r="A793" s="7"/>
    </row>
    <row r="794" spans="1:1" ht="15.75" customHeight="1">
      <c r="A794" s="7"/>
    </row>
    <row r="795" spans="1:1" ht="15.75" customHeight="1">
      <c r="A795" s="7"/>
    </row>
    <row r="796" spans="1:1" ht="15.75" customHeight="1">
      <c r="A796" s="7"/>
    </row>
    <row r="797" spans="1:1" ht="15.75" customHeight="1">
      <c r="A797" s="7"/>
    </row>
    <row r="798" spans="1:1" ht="15.75" customHeight="1">
      <c r="A798" s="7"/>
    </row>
    <row r="799" spans="1:1" ht="15.75" customHeight="1">
      <c r="A799" s="7"/>
    </row>
    <row r="800" spans="1:1" ht="15.75" customHeight="1">
      <c r="A800" s="7"/>
    </row>
    <row r="801" spans="1:1" ht="15.75" customHeight="1">
      <c r="A801" s="7"/>
    </row>
    <row r="802" spans="1:1" ht="15.75" customHeight="1">
      <c r="A802" s="7"/>
    </row>
    <row r="803" spans="1:1" ht="15.75" customHeight="1">
      <c r="A803" s="7"/>
    </row>
    <row r="804" spans="1:1" ht="15.75" customHeight="1">
      <c r="A804" s="7"/>
    </row>
    <row r="805" spans="1:1" ht="15.75" customHeight="1">
      <c r="A805" s="7"/>
    </row>
    <row r="806" spans="1:1" ht="15.75" customHeight="1">
      <c r="A806" s="7"/>
    </row>
    <row r="807" spans="1:1" ht="15.75" customHeight="1">
      <c r="A807" s="7"/>
    </row>
    <row r="808" spans="1:1" ht="15.75" customHeight="1">
      <c r="A808" s="7"/>
    </row>
    <row r="809" spans="1:1" ht="15.75" customHeight="1">
      <c r="A809" s="7"/>
    </row>
    <row r="810" spans="1:1" ht="15.75" customHeight="1">
      <c r="A810" s="7"/>
    </row>
    <row r="811" spans="1:1" ht="15.75" customHeight="1">
      <c r="A811" s="7"/>
    </row>
    <row r="812" spans="1:1" ht="15.75" customHeight="1">
      <c r="A812" s="7"/>
    </row>
    <row r="813" spans="1:1" ht="15.75" customHeight="1">
      <c r="A813" s="7"/>
    </row>
    <row r="814" spans="1:1" ht="15.75" customHeight="1">
      <c r="A814" s="7"/>
    </row>
    <row r="815" spans="1:1" ht="15.75" customHeight="1">
      <c r="A815" s="7"/>
    </row>
    <row r="816" spans="1:1" ht="15.75" customHeight="1">
      <c r="A816" s="7"/>
    </row>
    <row r="817" spans="1:1" ht="15.75" customHeight="1">
      <c r="A817" s="7"/>
    </row>
    <row r="818" spans="1:1" ht="15.75" customHeight="1">
      <c r="A818" s="7"/>
    </row>
    <row r="819" spans="1:1" ht="15.75" customHeight="1">
      <c r="A819" s="7"/>
    </row>
    <row r="820" spans="1:1" ht="15.75" customHeight="1">
      <c r="A820" s="7"/>
    </row>
    <row r="821" spans="1:1" ht="15.75" customHeight="1">
      <c r="A821" s="7"/>
    </row>
    <row r="822" spans="1:1" ht="15.75" customHeight="1">
      <c r="A822" s="7"/>
    </row>
    <row r="823" spans="1:1" ht="15.75" customHeight="1">
      <c r="A823" s="7"/>
    </row>
    <row r="824" spans="1:1" ht="15.75" customHeight="1">
      <c r="A824" s="7"/>
    </row>
    <row r="825" spans="1:1" ht="15.75" customHeight="1">
      <c r="A825" s="7"/>
    </row>
    <row r="826" spans="1:1" ht="15.75" customHeight="1">
      <c r="A826" s="7"/>
    </row>
    <row r="827" spans="1:1" ht="15.75" customHeight="1">
      <c r="A827" s="7"/>
    </row>
    <row r="828" spans="1:1" ht="15.75" customHeight="1">
      <c r="A828" s="7"/>
    </row>
    <row r="829" spans="1:1" ht="15.75" customHeight="1">
      <c r="A829" s="7"/>
    </row>
    <row r="830" spans="1:1" ht="15.75" customHeight="1">
      <c r="A830" s="7"/>
    </row>
    <row r="831" spans="1:1" ht="15.75" customHeight="1">
      <c r="A831" s="7"/>
    </row>
    <row r="832" spans="1:1" ht="15.75" customHeight="1">
      <c r="A832" s="7"/>
    </row>
    <row r="833" spans="1:1" ht="15.75" customHeight="1">
      <c r="A833" s="7"/>
    </row>
    <row r="834" spans="1:1" ht="15.75" customHeight="1">
      <c r="A834" s="7"/>
    </row>
    <row r="835" spans="1:1" ht="15.75" customHeight="1">
      <c r="A835" s="7"/>
    </row>
    <row r="836" spans="1:1" ht="15.75" customHeight="1">
      <c r="A836" s="7"/>
    </row>
    <row r="837" spans="1:1" ht="15.75" customHeight="1">
      <c r="A837" s="7"/>
    </row>
    <row r="838" spans="1:1" ht="15.75" customHeight="1">
      <c r="A838" s="7"/>
    </row>
    <row r="839" spans="1:1" ht="15.75" customHeight="1">
      <c r="A839" s="7"/>
    </row>
    <row r="840" spans="1:1" ht="15.75" customHeight="1">
      <c r="A840" s="7"/>
    </row>
    <row r="841" spans="1:1" ht="15.75" customHeight="1">
      <c r="A841" s="7"/>
    </row>
    <row r="842" spans="1:1" ht="15.75" customHeight="1">
      <c r="A842" s="7"/>
    </row>
    <row r="843" spans="1:1" ht="15.75" customHeight="1">
      <c r="A843" s="7"/>
    </row>
    <row r="844" spans="1:1" ht="15.75" customHeight="1">
      <c r="A844" s="7"/>
    </row>
    <row r="845" spans="1:1" ht="15.75" customHeight="1">
      <c r="A845" s="7"/>
    </row>
    <row r="846" spans="1:1" ht="15.75" customHeight="1">
      <c r="A846" s="7"/>
    </row>
    <row r="847" spans="1:1" ht="15.75" customHeight="1">
      <c r="A847" s="7"/>
    </row>
    <row r="848" spans="1:1" ht="15.75" customHeight="1">
      <c r="A848" s="7"/>
    </row>
    <row r="849" spans="1:1" ht="15.75" customHeight="1">
      <c r="A849" s="7"/>
    </row>
    <row r="850" spans="1:1" ht="15.75" customHeight="1">
      <c r="A850" s="7"/>
    </row>
    <row r="851" spans="1:1" ht="15.75" customHeight="1">
      <c r="A851" s="7"/>
    </row>
    <row r="852" spans="1:1" ht="15.75" customHeight="1">
      <c r="A852" s="7"/>
    </row>
    <row r="853" spans="1:1" ht="15.75" customHeight="1">
      <c r="A853" s="7"/>
    </row>
    <row r="854" spans="1:1" ht="15.75" customHeight="1">
      <c r="A854" s="7"/>
    </row>
    <row r="855" spans="1:1" ht="15.75" customHeight="1">
      <c r="A855" s="7"/>
    </row>
    <row r="856" spans="1:1" ht="15.75" customHeight="1">
      <c r="A856" s="7"/>
    </row>
    <row r="857" spans="1:1" ht="15.75" customHeight="1">
      <c r="A857" s="7"/>
    </row>
    <row r="858" spans="1:1" ht="15.75" customHeight="1">
      <c r="A858" s="7"/>
    </row>
    <row r="859" spans="1:1" ht="15.75" customHeight="1">
      <c r="A859" s="7"/>
    </row>
    <row r="860" spans="1:1" ht="15.75" customHeight="1">
      <c r="A860" s="7"/>
    </row>
    <row r="861" spans="1:1" ht="15.75" customHeight="1">
      <c r="A861" s="7"/>
    </row>
    <row r="862" spans="1:1" ht="15.75" customHeight="1">
      <c r="A862" s="7"/>
    </row>
    <row r="863" spans="1:1" ht="15.75" customHeight="1">
      <c r="A863" s="7"/>
    </row>
    <row r="864" spans="1:1" ht="15.75" customHeight="1">
      <c r="A864" s="7"/>
    </row>
    <row r="865" spans="1:1" ht="15.75" customHeight="1">
      <c r="A865" s="7"/>
    </row>
    <row r="866" spans="1:1" ht="15.75" customHeight="1">
      <c r="A866" s="7"/>
    </row>
    <row r="867" spans="1:1" ht="15.75" customHeight="1">
      <c r="A867" s="7"/>
    </row>
    <row r="868" spans="1:1" ht="15.75" customHeight="1">
      <c r="A868" s="7"/>
    </row>
    <row r="869" spans="1:1" ht="15.75" customHeight="1">
      <c r="A869" s="7"/>
    </row>
    <row r="870" spans="1:1" ht="15.75" customHeight="1">
      <c r="A870" s="7"/>
    </row>
    <row r="871" spans="1:1" ht="15.75" customHeight="1">
      <c r="A871" s="7"/>
    </row>
    <row r="872" spans="1:1" ht="15.75" customHeight="1">
      <c r="A872" s="7"/>
    </row>
    <row r="873" spans="1:1" ht="15.75" customHeight="1">
      <c r="A873" s="7"/>
    </row>
    <row r="874" spans="1:1" ht="15.75" customHeight="1">
      <c r="A874" s="7"/>
    </row>
    <row r="875" spans="1:1" ht="15.75" customHeight="1">
      <c r="A875" s="7"/>
    </row>
    <row r="876" spans="1:1" ht="15.75" customHeight="1">
      <c r="A876" s="7"/>
    </row>
    <row r="877" spans="1:1" ht="15.75" customHeight="1">
      <c r="A877" s="7"/>
    </row>
    <row r="878" spans="1:1" ht="15.75" customHeight="1">
      <c r="A878" s="7"/>
    </row>
    <row r="879" spans="1:1" ht="15.75" customHeight="1">
      <c r="A879" s="7"/>
    </row>
    <row r="880" spans="1:1" ht="15.75" customHeight="1">
      <c r="A880" s="7"/>
    </row>
    <row r="881" spans="1:1" ht="15.75" customHeight="1">
      <c r="A881" s="7"/>
    </row>
    <row r="882" spans="1:1" ht="15.75" customHeight="1">
      <c r="A882" s="7"/>
    </row>
    <row r="883" spans="1:1" ht="15.75" customHeight="1">
      <c r="A883" s="7"/>
    </row>
    <row r="884" spans="1:1" ht="15.75" customHeight="1">
      <c r="A884" s="7"/>
    </row>
    <row r="885" spans="1:1" ht="15.75" customHeight="1">
      <c r="A885" s="7"/>
    </row>
    <row r="886" spans="1:1" ht="15.75" customHeight="1">
      <c r="A886" s="7"/>
    </row>
    <row r="887" spans="1:1" ht="15.75" customHeight="1">
      <c r="A887" s="7"/>
    </row>
    <row r="888" spans="1:1" ht="15.75" customHeight="1">
      <c r="A888" s="7"/>
    </row>
    <row r="889" spans="1:1" ht="15.75" customHeight="1">
      <c r="A889" s="7"/>
    </row>
    <row r="890" spans="1:1" ht="15.75" customHeight="1">
      <c r="A890" s="7"/>
    </row>
    <row r="891" spans="1:1" ht="15.75" customHeight="1">
      <c r="A891" s="7"/>
    </row>
    <row r="892" spans="1:1" ht="15.75" customHeight="1">
      <c r="A892" s="7"/>
    </row>
    <row r="893" spans="1:1" ht="15.75" customHeight="1">
      <c r="A893" s="7"/>
    </row>
    <row r="894" spans="1:1" ht="15.75" customHeight="1">
      <c r="A894" s="7"/>
    </row>
    <row r="895" spans="1:1" ht="15.75" customHeight="1">
      <c r="A895" s="7"/>
    </row>
    <row r="896" spans="1:1" ht="15.75" customHeight="1">
      <c r="A896" s="7"/>
    </row>
    <row r="897" spans="1:1" ht="15.75" customHeight="1">
      <c r="A897" s="7"/>
    </row>
    <row r="898" spans="1:1" ht="15.75" customHeight="1">
      <c r="A898" s="7"/>
    </row>
    <row r="899" spans="1:1" ht="15.75" customHeight="1">
      <c r="A899" s="7"/>
    </row>
    <row r="900" spans="1:1" ht="15.75" customHeight="1">
      <c r="A900" s="7"/>
    </row>
    <row r="901" spans="1:1" ht="15.75" customHeight="1">
      <c r="A901" s="7"/>
    </row>
    <row r="902" spans="1:1" ht="15.75" customHeight="1">
      <c r="A902" s="7"/>
    </row>
    <row r="903" spans="1:1" ht="15.75" customHeight="1">
      <c r="A903" s="7"/>
    </row>
    <row r="904" spans="1:1" ht="15.75" customHeight="1">
      <c r="A904" s="7"/>
    </row>
    <row r="905" spans="1:1" ht="15.75" customHeight="1">
      <c r="A905" s="7"/>
    </row>
    <row r="906" spans="1:1" ht="15.75" customHeight="1">
      <c r="A906" s="7"/>
    </row>
    <row r="907" spans="1:1" ht="15.75" customHeight="1">
      <c r="A907" s="7"/>
    </row>
    <row r="908" spans="1:1" ht="15.75" customHeight="1">
      <c r="A908" s="7"/>
    </row>
    <row r="909" spans="1:1" ht="15.75" customHeight="1">
      <c r="A909" s="7"/>
    </row>
    <row r="910" spans="1:1" ht="15.75" customHeight="1">
      <c r="A910" s="7"/>
    </row>
    <row r="911" spans="1:1" ht="15.75" customHeight="1">
      <c r="A911" s="7"/>
    </row>
    <row r="912" spans="1:1" ht="15.75" customHeight="1">
      <c r="A912" s="7"/>
    </row>
    <row r="913" spans="1:1" ht="15.75" customHeight="1">
      <c r="A913" s="7"/>
    </row>
    <row r="914" spans="1:1" ht="15.75" customHeight="1">
      <c r="A914" s="7"/>
    </row>
    <row r="915" spans="1:1" ht="15.75" customHeight="1">
      <c r="A915" s="7"/>
    </row>
    <row r="916" spans="1:1" ht="15.75" customHeight="1">
      <c r="A916" s="7"/>
    </row>
    <row r="917" spans="1:1" ht="15.75" customHeight="1">
      <c r="A917" s="7"/>
    </row>
    <row r="918" spans="1:1" ht="15.75" customHeight="1">
      <c r="A918" s="7"/>
    </row>
    <row r="919" spans="1:1" ht="15.75" customHeight="1">
      <c r="A919" s="7"/>
    </row>
    <row r="920" spans="1:1" ht="15.75" customHeight="1">
      <c r="A920" s="7"/>
    </row>
    <row r="921" spans="1:1" ht="15.75" customHeight="1">
      <c r="A921" s="7"/>
    </row>
    <row r="922" spans="1:1" ht="15.75" customHeight="1">
      <c r="A922" s="7"/>
    </row>
    <row r="923" spans="1:1" ht="15.75" customHeight="1">
      <c r="A923" s="7"/>
    </row>
    <row r="924" spans="1:1" ht="15.75" customHeight="1">
      <c r="A924" s="7"/>
    </row>
    <row r="925" spans="1:1" ht="15.75" customHeight="1">
      <c r="A925" s="7"/>
    </row>
    <row r="926" spans="1:1" ht="15.75" customHeight="1">
      <c r="A926" s="7"/>
    </row>
    <row r="927" spans="1:1" ht="15.75" customHeight="1">
      <c r="A927" s="7"/>
    </row>
    <row r="928" spans="1:1" ht="15.75" customHeight="1">
      <c r="A928" s="7"/>
    </row>
    <row r="929" spans="1:1" ht="15.75" customHeight="1">
      <c r="A929" s="7"/>
    </row>
    <row r="930" spans="1:1" ht="15.75" customHeight="1">
      <c r="A930" s="7"/>
    </row>
    <row r="931" spans="1:1" ht="15.75" customHeight="1">
      <c r="A931" s="7"/>
    </row>
    <row r="932" spans="1:1" ht="15.75" customHeight="1">
      <c r="A932" s="7"/>
    </row>
    <row r="933" spans="1:1" ht="15.75" customHeight="1">
      <c r="A933" s="7"/>
    </row>
    <row r="934" spans="1:1" ht="15.75" customHeight="1">
      <c r="A934" s="7"/>
    </row>
    <row r="935" spans="1:1" ht="15.75" customHeight="1">
      <c r="A935" s="7"/>
    </row>
    <row r="936" spans="1:1" ht="15.75" customHeight="1">
      <c r="A936" s="7"/>
    </row>
    <row r="937" spans="1:1" ht="15.75" customHeight="1">
      <c r="A937" s="7"/>
    </row>
    <row r="938" spans="1:1" ht="15.75" customHeight="1">
      <c r="A938" s="7"/>
    </row>
    <row r="939" spans="1:1" ht="15.75" customHeight="1">
      <c r="A939" s="7"/>
    </row>
    <row r="940" spans="1:1" ht="15.75" customHeight="1">
      <c r="A940" s="7"/>
    </row>
    <row r="941" spans="1:1" ht="15.75" customHeight="1">
      <c r="A941" s="7"/>
    </row>
    <row r="942" spans="1:1" ht="15.75" customHeight="1">
      <c r="A942" s="7"/>
    </row>
    <row r="943" spans="1:1" ht="15.75" customHeight="1">
      <c r="A943" s="7"/>
    </row>
    <row r="944" spans="1:1" ht="15.75" customHeight="1">
      <c r="A944" s="7"/>
    </row>
    <row r="945" spans="1:1" ht="15.75" customHeight="1">
      <c r="A945" s="7"/>
    </row>
    <row r="946" spans="1:1" ht="15.75" customHeight="1">
      <c r="A946" s="7"/>
    </row>
    <row r="947" spans="1:1" ht="15.75" customHeight="1">
      <c r="A947" s="7"/>
    </row>
    <row r="948" spans="1:1" ht="15.75" customHeight="1">
      <c r="A948" s="7"/>
    </row>
    <row r="949" spans="1:1" ht="15.75" customHeight="1">
      <c r="A949" s="7"/>
    </row>
    <row r="950" spans="1:1" ht="15.75" customHeight="1">
      <c r="A950" s="7"/>
    </row>
    <row r="951" spans="1:1" ht="15.75" customHeight="1">
      <c r="A951" s="7"/>
    </row>
    <row r="952" spans="1:1" ht="15.75" customHeight="1">
      <c r="A952" s="7"/>
    </row>
    <row r="953" spans="1:1" ht="15.75" customHeight="1">
      <c r="A953" s="7"/>
    </row>
    <row r="954" spans="1:1" ht="15.75" customHeight="1">
      <c r="A954" s="7"/>
    </row>
    <row r="955" spans="1:1" ht="15.75" customHeight="1">
      <c r="A955" s="7"/>
    </row>
    <row r="956" spans="1:1" ht="15.75" customHeight="1">
      <c r="A956" s="7"/>
    </row>
    <row r="957" spans="1:1" ht="15.75" customHeight="1">
      <c r="A957" s="7"/>
    </row>
    <row r="958" spans="1:1" ht="15.75" customHeight="1">
      <c r="A958" s="7"/>
    </row>
    <row r="959" spans="1:1" ht="15.75" customHeight="1">
      <c r="A959" s="7"/>
    </row>
    <row r="960" spans="1:1" ht="15.75" customHeight="1">
      <c r="A960" s="7"/>
    </row>
    <row r="961" spans="1:1" ht="15.75" customHeight="1">
      <c r="A961" s="7"/>
    </row>
    <row r="962" spans="1:1" ht="15.75" customHeight="1">
      <c r="A962" s="7"/>
    </row>
    <row r="963" spans="1:1" ht="15.75" customHeight="1">
      <c r="A963" s="7"/>
    </row>
    <row r="964" spans="1:1" ht="15.75" customHeight="1">
      <c r="A964" s="7"/>
    </row>
    <row r="965" spans="1:1" ht="15.75" customHeight="1">
      <c r="A965" s="7"/>
    </row>
    <row r="966" spans="1:1" ht="15.75" customHeight="1">
      <c r="A966" s="7"/>
    </row>
    <row r="967" spans="1:1" ht="15.75" customHeight="1">
      <c r="A967" s="7"/>
    </row>
    <row r="968" spans="1:1" ht="15.75" customHeight="1">
      <c r="A968" s="7"/>
    </row>
    <row r="969" spans="1:1" ht="15.75" customHeight="1">
      <c r="A969" s="7"/>
    </row>
    <row r="970" spans="1:1" ht="15.75" customHeight="1">
      <c r="A970" s="7"/>
    </row>
    <row r="971" spans="1:1" ht="15.75" customHeight="1">
      <c r="A971" s="7"/>
    </row>
    <row r="972" spans="1:1" ht="15.75" customHeight="1">
      <c r="A972" s="7"/>
    </row>
    <row r="973" spans="1:1" ht="15.75" customHeight="1">
      <c r="A973" s="7"/>
    </row>
    <row r="974" spans="1:1" ht="15.75" customHeight="1">
      <c r="A974" s="7"/>
    </row>
    <row r="975" spans="1:1" ht="15.75" customHeight="1">
      <c r="A975" s="7"/>
    </row>
    <row r="976" spans="1:1" ht="15.75" customHeight="1">
      <c r="A976" s="7"/>
    </row>
    <row r="977" spans="1:1" ht="15.75" customHeight="1">
      <c r="A977" s="7"/>
    </row>
    <row r="978" spans="1:1" ht="15.75" customHeight="1">
      <c r="A978" s="7"/>
    </row>
    <row r="979" spans="1:1" ht="15.75" customHeight="1">
      <c r="A979" s="7"/>
    </row>
    <row r="980" spans="1:1" ht="15.75" customHeight="1">
      <c r="A980" s="7"/>
    </row>
    <row r="981" spans="1:1" ht="15.75" customHeight="1">
      <c r="A981" s="7"/>
    </row>
    <row r="982" spans="1:1" ht="15.75" customHeight="1">
      <c r="A982" s="7"/>
    </row>
    <row r="983" spans="1:1" ht="15.75" customHeight="1">
      <c r="A983" s="7"/>
    </row>
    <row r="984" spans="1:1" ht="15.75" customHeight="1">
      <c r="A984" s="7"/>
    </row>
    <row r="985" spans="1:1" ht="15.75" customHeight="1">
      <c r="A985" s="7"/>
    </row>
    <row r="986" spans="1:1" ht="15.75" customHeight="1">
      <c r="A986" s="7"/>
    </row>
    <row r="987" spans="1:1" ht="15.75" customHeight="1">
      <c r="A987" s="7"/>
    </row>
    <row r="988" spans="1:1" ht="15.75" customHeight="1">
      <c r="A988" s="7"/>
    </row>
    <row r="989" spans="1:1" ht="15.75" customHeight="1">
      <c r="A989" s="7"/>
    </row>
    <row r="990" spans="1:1" ht="15.75" customHeight="1">
      <c r="A990" s="7"/>
    </row>
    <row r="991" spans="1:1" ht="15.75" customHeight="1">
      <c r="A991" s="7"/>
    </row>
    <row r="992" spans="1:1" ht="15.75" customHeight="1">
      <c r="A992" s="7"/>
    </row>
    <row r="993" spans="1:1" ht="15.75" customHeight="1">
      <c r="A993" s="7"/>
    </row>
    <row r="994" spans="1:1" ht="15.75" customHeight="1">
      <c r="A994" s="7"/>
    </row>
    <row r="995" spans="1:1" ht="15.75" customHeight="1">
      <c r="A995" s="7"/>
    </row>
    <row r="996" spans="1:1" ht="15.75" customHeight="1">
      <c r="A996" s="7"/>
    </row>
    <row r="997" spans="1:1" ht="15.75" customHeight="1">
      <c r="A997" s="7"/>
    </row>
    <row r="998" spans="1:1" ht="15.75" customHeight="1">
      <c r="A998" s="7"/>
    </row>
    <row r="999" spans="1:1" ht="15.75" customHeight="1">
      <c r="A999" s="7"/>
    </row>
    <row r="1000" spans="1:1" ht="15.75" customHeight="1">
      <c r="A1000" s="7"/>
    </row>
    <row r="1001" spans="1:1" ht="15.75" customHeight="1">
      <c r="A1001" s="7"/>
    </row>
  </sheetData>
  <mergeCells count="60">
    <mergeCell ref="F8:G8"/>
    <mergeCell ref="H8:I8"/>
    <mergeCell ref="J8:K8"/>
    <mergeCell ref="L8:M8"/>
    <mergeCell ref="M6:N6"/>
    <mergeCell ref="C4:F4"/>
    <mergeCell ref="G4:J4"/>
    <mergeCell ref="F6:H6"/>
    <mergeCell ref="J6:K6"/>
    <mergeCell ref="C68:N68"/>
    <mergeCell ref="F62:G62"/>
    <mergeCell ref="H62:I62"/>
    <mergeCell ref="J62:K62"/>
    <mergeCell ref="L62:M62"/>
    <mergeCell ref="F24:G24"/>
    <mergeCell ref="H24:I24"/>
    <mergeCell ref="J24:K24"/>
    <mergeCell ref="L24:M24"/>
    <mergeCell ref="C26:N26"/>
    <mergeCell ref="F22:G22"/>
    <mergeCell ref="H22:I22"/>
    <mergeCell ref="D70:N70"/>
    <mergeCell ref="D72:N72"/>
    <mergeCell ref="D74:N74"/>
    <mergeCell ref="C28:C66"/>
    <mergeCell ref="H44:I44"/>
    <mergeCell ref="J44:K44"/>
    <mergeCell ref="L44:M44"/>
    <mergeCell ref="F44:G44"/>
    <mergeCell ref="F50:G50"/>
    <mergeCell ref="H50:I50"/>
    <mergeCell ref="F28:G28"/>
    <mergeCell ref="H28:I28"/>
    <mergeCell ref="J28:K28"/>
    <mergeCell ref="L28:M28"/>
    <mergeCell ref="N28:N66"/>
    <mergeCell ref="F35:G35"/>
    <mergeCell ref="L39:M39"/>
    <mergeCell ref="J22:K22"/>
    <mergeCell ref="L22:M22"/>
    <mergeCell ref="F23:G23"/>
    <mergeCell ref="H23:I23"/>
    <mergeCell ref="J23:K23"/>
    <mergeCell ref="L23:M23"/>
    <mergeCell ref="D79:M79"/>
    <mergeCell ref="D76:N76"/>
    <mergeCell ref="C2:J2"/>
    <mergeCell ref="D78:M78"/>
    <mergeCell ref="J50:K50"/>
    <mergeCell ref="L50:M50"/>
    <mergeCell ref="F59:G59"/>
    <mergeCell ref="H59:I59"/>
    <mergeCell ref="J59:K59"/>
    <mergeCell ref="L59:M59"/>
    <mergeCell ref="H35:I35"/>
    <mergeCell ref="J35:K35"/>
    <mergeCell ref="L35:M35"/>
    <mergeCell ref="F39:G39"/>
    <mergeCell ref="H39:I39"/>
    <mergeCell ref="J39:K39"/>
  </mergeCells>
  <conditionalFormatting sqref="M66">
    <cfRule type="cellIs" dxfId="44" priority="1" operator="lessThan">
      <formula>11</formula>
    </cfRule>
  </conditionalFormatting>
  <conditionalFormatting sqref="M63:M65">
    <cfRule type="cellIs" dxfId="43" priority="2" operator="lessThan">
      <formula>11</formula>
    </cfRule>
  </conditionalFormatting>
  <conditionalFormatting sqref="K66">
    <cfRule type="cellIs" dxfId="42" priority="3" operator="lessThan">
      <formula>11</formula>
    </cfRule>
  </conditionalFormatting>
  <conditionalFormatting sqref="K63:K65">
    <cfRule type="cellIs" dxfId="41" priority="4" operator="lessThan">
      <formula>11</formula>
    </cfRule>
  </conditionalFormatting>
  <conditionalFormatting sqref="I66">
    <cfRule type="cellIs" dxfId="40" priority="5" operator="lessThan">
      <formula>11</formula>
    </cfRule>
  </conditionalFormatting>
  <conditionalFormatting sqref="I63:I65">
    <cfRule type="cellIs" dxfId="39" priority="6" operator="lessThan">
      <formula>11</formula>
    </cfRule>
  </conditionalFormatting>
  <conditionalFormatting sqref="G66">
    <cfRule type="cellIs" dxfId="38" priority="7" operator="lessThan">
      <formula>11</formula>
    </cfRule>
  </conditionalFormatting>
  <conditionalFormatting sqref="G63:G65">
    <cfRule type="cellIs" dxfId="37" priority="8" operator="lessThan">
      <formula>11</formula>
    </cfRule>
  </conditionalFormatting>
  <conditionalFormatting sqref="L66">
    <cfRule type="cellIs" dxfId="36" priority="9" operator="lessThan">
      <formula>11</formula>
    </cfRule>
  </conditionalFormatting>
  <conditionalFormatting sqref="F32:M33 F43:M43">
    <cfRule type="cellIs" dxfId="35" priority="10" operator="lessThan">
      <formula>11</formula>
    </cfRule>
  </conditionalFormatting>
  <conditionalFormatting sqref="F42:G42 I42 K42 M42">
    <cfRule type="cellIs" dxfId="34" priority="11" operator="lessThan">
      <formula>11</formula>
    </cfRule>
  </conditionalFormatting>
  <conditionalFormatting sqref="L24">
    <cfRule type="cellIs" dxfId="33" priority="12" operator="lessThan">
      <formula>11</formula>
    </cfRule>
  </conditionalFormatting>
  <conditionalFormatting sqref="F11:N20">
    <cfRule type="cellIs" dxfId="32" priority="13" operator="lessThan">
      <formula>11</formula>
    </cfRule>
  </conditionalFormatting>
  <conditionalFormatting sqref="F21:N21">
    <cfRule type="cellIs" dxfId="31" priority="14" operator="lessThan">
      <formula>11</formula>
    </cfRule>
  </conditionalFormatting>
  <conditionalFormatting sqref="F40:G41 I40:I41 K40:K41 M40:M41">
    <cfRule type="cellIs" dxfId="30" priority="15" operator="lessThan">
      <formula>11</formula>
    </cfRule>
  </conditionalFormatting>
  <conditionalFormatting sqref="F24">
    <cfRule type="cellIs" dxfId="29" priority="16" operator="lessThan">
      <formula>11</formula>
    </cfRule>
  </conditionalFormatting>
  <conditionalFormatting sqref="H24">
    <cfRule type="cellIs" dxfId="28" priority="17" operator="lessThan">
      <formula>11</formula>
    </cfRule>
  </conditionalFormatting>
  <conditionalFormatting sqref="J24">
    <cfRule type="cellIs" dxfId="27" priority="18" operator="lessThan">
      <formula>11</formula>
    </cfRule>
  </conditionalFormatting>
  <conditionalFormatting sqref="N24">
    <cfRule type="cellIs" dxfId="26" priority="19" operator="lessThan">
      <formula>11</formula>
    </cfRule>
  </conditionalFormatting>
  <conditionalFormatting sqref="F66">
    <cfRule type="cellIs" dxfId="25" priority="20" operator="lessThan">
      <formula>11</formula>
    </cfRule>
  </conditionalFormatting>
  <conditionalFormatting sqref="F29:M33">
    <cfRule type="cellIs" dxfId="24" priority="21" operator="lessThan">
      <formula>11</formula>
    </cfRule>
  </conditionalFormatting>
  <conditionalFormatting sqref="F36:M37">
    <cfRule type="cellIs" dxfId="23" priority="22" operator="lessThan">
      <formula>11</formula>
    </cfRule>
  </conditionalFormatting>
  <conditionalFormatting sqref="F48:M48">
    <cfRule type="cellIs" dxfId="22" priority="23" operator="lessThan">
      <formula>11</formula>
    </cfRule>
  </conditionalFormatting>
  <conditionalFormatting sqref="F45:M48">
    <cfRule type="cellIs" dxfId="21" priority="24" operator="lessThan">
      <formula>11</formula>
    </cfRule>
  </conditionalFormatting>
  <conditionalFormatting sqref="F63:F65">
    <cfRule type="cellIs" dxfId="20" priority="25" operator="lessThan">
      <formula>11</formula>
    </cfRule>
  </conditionalFormatting>
  <conditionalFormatting sqref="F51:G53 I51:I53 K51:K53 M51:M53">
    <cfRule type="cellIs" dxfId="19" priority="26" operator="lessThan">
      <formula>11</formula>
    </cfRule>
  </conditionalFormatting>
  <conditionalFormatting sqref="F54:G57 I54:I57 K54:K57 M54:M57">
    <cfRule type="cellIs" dxfId="18" priority="27" operator="lessThan">
      <formula>11</formula>
    </cfRule>
  </conditionalFormatting>
  <conditionalFormatting sqref="F60:M60">
    <cfRule type="cellIs" dxfId="17" priority="28" operator="lessThan">
      <formula>11</formula>
    </cfRule>
  </conditionalFormatting>
  <conditionalFormatting sqref="H42">
    <cfRule type="cellIs" dxfId="16" priority="29" operator="lessThan">
      <formula>11</formula>
    </cfRule>
  </conditionalFormatting>
  <conditionalFormatting sqref="H40:H41">
    <cfRule type="cellIs" dxfId="15" priority="30" operator="lessThan">
      <formula>11</formula>
    </cfRule>
  </conditionalFormatting>
  <conditionalFormatting sqref="J42">
    <cfRule type="cellIs" dxfId="14" priority="31" operator="lessThan">
      <formula>11</formula>
    </cfRule>
  </conditionalFormatting>
  <conditionalFormatting sqref="J40:J41">
    <cfRule type="cellIs" dxfId="13" priority="32" operator="lessThan">
      <formula>11</formula>
    </cfRule>
  </conditionalFormatting>
  <conditionalFormatting sqref="L42">
    <cfRule type="cellIs" dxfId="12" priority="33" operator="lessThan">
      <formula>11</formula>
    </cfRule>
  </conditionalFormatting>
  <conditionalFormatting sqref="L40:L41">
    <cfRule type="cellIs" dxfId="11" priority="34" operator="lessThan">
      <formula>11</formula>
    </cfRule>
  </conditionalFormatting>
  <conditionalFormatting sqref="H51:H53">
    <cfRule type="cellIs" dxfId="10" priority="35" operator="lessThan">
      <formula>11</formula>
    </cfRule>
  </conditionalFormatting>
  <conditionalFormatting sqref="H54:H57">
    <cfRule type="cellIs" dxfId="9" priority="36" operator="lessThan">
      <formula>11</formula>
    </cfRule>
  </conditionalFormatting>
  <conditionalFormatting sqref="J51:J53">
    <cfRule type="cellIs" dxfId="8" priority="37" operator="lessThan">
      <formula>11</formula>
    </cfRule>
  </conditionalFormatting>
  <conditionalFormatting sqref="J54:J57">
    <cfRule type="cellIs" dxfId="7" priority="38" operator="lessThan">
      <formula>11</formula>
    </cfRule>
  </conditionalFormatting>
  <conditionalFormatting sqref="L51:L53">
    <cfRule type="cellIs" dxfId="6" priority="39" operator="lessThan">
      <formula>11</formula>
    </cfRule>
  </conditionalFormatting>
  <conditionalFormatting sqref="L54:L57">
    <cfRule type="cellIs" dxfId="5" priority="40" operator="lessThan">
      <formula>11</formula>
    </cfRule>
  </conditionalFormatting>
  <conditionalFormatting sqref="H66">
    <cfRule type="cellIs" dxfId="4" priority="41" operator="lessThan">
      <formula>11</formula>
    </cfRule>
  </conditionalFormatting>
  <conditionalFormatting sqref="H63:H65">
    <cfRule type="cellIs" dxfId="3" priority="42" operator="lessThan">
      <formula>11</formula>
    </cfRule>
  </conditionalFormatting>
  <conditionalFormatting sqref="J66">
    <cfRule type="cellIs" dxfId="2" priority="43" operator="lessThan">
      <formula>11</formula>
    </cfRule>
  </conditionalFormatting>
  <conditionalFormatting sqref="J63:J65">
    <cfRule type="cellIs" dxfId="1" priority="44" operator="lessThan">
      <formula>11</formula>
    </cfRule>
  </conditionalFormatting>
  <conditionalFormatting sqref="L63:L65">
    <cfRule type="cellIs" dxfId="0" priority="45" operator="lessThan">
      <formula>11</formula>
    </cfRule>
  </conditionalFormatting>
  <printOptions horizontalCentered="1"/>
  <pageMargins left="0" right="0" top="0" bottom="0" header="0" footer="0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Libreta de 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2026-06-16T16:29:11Z</cp:lastPrinted>
  <dcterms:created xsi:type="dcterms:W3CDTF">2026-06-16T00:06:12Z</dcterms:created>
  <dcterms:modified xsi:type="dcterms:W3CDTF">2026-09-01T22:17:52Z</dcterms:modified>
</cp:coreProperties>
</file>