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f\Documents\template_django\sistema_academico\templates_archivos\"/>
    </mc:Choice>
  </mc:AlternateContent>
  <xr:revisionPtr revIDLastSave="0" documentId="13_ncr:1_{79670F81-BFA7-4C70-8037-FEE3E4349CF1}" xr6:coauthVersionLast="47" xr6:coauthVersionMax="47" xr10:uidLastSave="{00000000-0000-0000-0000-000000000000}"/>
  <bookViews>
    <workbookView xWindow="4680" yWindow="3510" windowWidth="19335" windowHeight="18090" xr2:uid="{27FEE935-E473-4187-A9F3-BC25F281E2B6}"/>
  </bookViews>
  <sheets>
    <sheet name="Libreta de N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" l="1"/>
  <c r="N27" i="1"/>
  <c r="N28" i="1"/>
  <c r="M59" i="1"/>
  <c r="K59" i="1"/>
  <c r="I59" i="1"/>
  <c r="G59" i="1"/>
  <c r="M58" i="1"/>
  <c r="K58" i="1"/>
  <c r="I58" i="1"/>
  <c r="G58" i="1"/>
  <c r="M57" i="1"/>
  <c r="K57" i="1"/>
  <c r="I57" i="1"/>
  <c r="G57" i="1"/>
  <c r="M56" i="1"/>
  <c r="K56" i="1"/>
  <c r="I56" i="1"/>
  <c r="G56" i="1"/>
  <c r="M54" i="1"/>
  <c r="K54" i="1"/>
  <c r="I54" i="1"/>
  <c r="G54" i="1"/>
  <c r="M51" i="1"/>
  <c r="K51" i="1"/>
  <c r="I51" i="1"/>
  <c r="G51" i="1"/>
  <c r="M50" i="1"/>
  <c r="K50" i="1"/>
  <c r="I50" i="1"/>
  <c r="G50" i="1"/>
  <c r="M47" i="1"/>
  <c r="K47" i="1"/>
  <c r="I47" i="1"/>
  <c r="G47" i="1"/>
  <c r="M46" i="1"/>
  <c r="K46" i="1"/>
  <c r="I46" i="1"/>
  <c r="G46" i="1"/>
  <c r="M45" i="1"/>
  <c r="K45" i="1"/>
  <c r="I45" i="1"/>
  <c r="G45" i="1"/>
  <c r="M42" i="1"/>
  <c r="K42" i="1"/>
  <c r="I42" i="1"/>
  <c r="G42" i="1"/>
  <c r="M41" i="1"/>
  <c r="K41" i="1"/>
  <c r="I41" i="1"/>
  <c r="G41" i="1"/>
  <c r="M40" i="1"/>
  <c r="K40" i="1"/>
  <c r="I40" i="1"/>
  <c r="G40" i="1"/>
  <c r="M39" i="1"/>
  <c r="K39" i="1"/>
  <c r="I39" i="1"/>
  <c r="G39" i="1"/>
  <c r="M36" i="1"/>
  <c r="K36" i="1"/>
  <c r="I36" i="1"/>
  <c r="G36" i="1"/>
  <c r="M35" i="1"/>
  <c r="K35" i="1"/>
  <c r="I35" i="1"/>
  <c r="G35" i="1"/>
  <c r="M34" i="1"/>
  <c r="K34" i="1"/>
  <c r="I34" i="1"/>
  <c r="G34" i="1"/>
  <c r="M33" i="1"/>
  <c r="K33" i="1"/>
  <c r="I33" i="1"/>
  <c r="G33" i="1"/>
  <c r="K24" i="1"/>
  <c r="I24" i="1"/>
  <c r="G24" i="1"/>
  <c r="M23" i="1"/>
  <c r="K23" i="1"/>
  <c r="I23" i="1"/>
  <c r="G23" i="1"/>
  <c r="K22" i="1"/>
  <c r="I22" i="1"/>
  <c r="G22" i="1"/>
  <c r="M21" i="1"/>
  <c r="K21" i="1"/>
  <c r="I21" i="1"/>
  <c r="G21" i="1"/>
  <c r="K18" i="1"/>
  <c r="I18" i="1"/>
  <c r="G18" i="1"/>
  <c r="K17" i="1"/>
  <c r="I17" i="1"/>
  <c r="G17" i="1"/>
  <c r="K16" i="1"/>
  <c r="I16" i="1"/>
  <c r="G16" i="1"/>
  <c r="N15" i="1"/>
  <c r="K15" i="1"/>
  <c r="I15" i="1"/>
  <c r="G15" i="1"/>
  <c r="M14" i="1"/>
  <c r="K14" i="1"/>
  <c r="I14" i="1"/>
  <c r="G14" i="1"/>
  <c r="M13" i="1"/>
  <c r="K13" i="1"/>
  <c r="I13" i="1"/>
  <c r="G13" i="1"/>
  <c r="K12" i="1"/>
  <c r="I12" i="1"/>
  <c r="G12" i="1"/>
  <c r="M11" i="1"/>
  <c r="K11" i="1"/>
  <c r="I11" i="1"/>
  <c r="G11" i="1"/>
  <c r="N16" i="1" l="1"/>
  <c r="M15" i="1"/>
  <c r="N12" i="1"/>
  <c r="N21" i="1"/>
  <c r="N23" i="1"/>
  <c r="N17" i="1"/>
  <c r="N13" i="1"/>
  <c r="M17" i="1"/>
  <c r="N24" i="1"/>
  <c r="N11" i="1"/>
  <c r="N18" i="1"/>
  <c r="N22" i="1"/>
  <c r="M18" i="1"/>
  <c r="M24" i="1"/>
  <c r="N14" i="1"/>
  <c r="M12" i="1"/>
  <c r="M16" i="1"/>
  <c r="M22" i="1"/>
</calcChain>
</file>

<file path=xl/sharedStrings.xml><?xml version="1.0" encoding="utf-8"?>
<sst xmlns="http://schemas.openxmlformats.org/spreadsheetml/2006/main" count="116" uniqueCount="75">
  <si>
    <t>Emprendedor (a)</t>
  </si>
  <si>
    <t>Código</t>
  </si>
  <si>
    <t>Aula</t>
  </si>
  <si>
    <t>1° Bim.</t>
  </si>
  <si>
    <t>2° Bim.</t>
  </si>
  <si>
    <t>3° Bim.</t>
  </si>
  <si>
    <t>4° Bim.</t>
  </si>
  <si>
    <t>Anual</t>
  </si>
  <si>
    <t>Áreas</t>
  </si>
  <si>
    <t>Cuant.</t>
  </si>
  <si>
    <t>Cuali.</t>
  </si>
  <si>
    <t>Prom. Final</t>
  </si>
  <si>
    <t>PN001</t>
  </si>
  <si>
    <t xml:space="preserve">Ciencia y Tecnología </t>
  </si>
  <si>
    <t>PN002</t>
  </si>
  <si>
    <t>Comunicación</t>
  </si>
  <si>
    <t>PN003</t>
  </si>
  <si>
    <t>Matemática</t>
  </si>
  <si>
    <t>PN004</t>
  </si>
  <si>
    <t>Personal Social</t>
  </si>
  <si>
    <t>PN005</t>
  </si>
  <si>
    <t>Educación Física</t>
  </si>
  <si>
    <t>PN006</t>
  </si>
  <si>
    <t xml:space="preserve">Arte </t>
  </si>
  <si>
    <t>PN007</t>
  </si>
  <si>
    <t>Religión</t>
  </si>
  <si>
    <t>PN008</t>
  </si>
  <si>
    <t>Inglés</t>
  </si>
  <si>
    <t>Talleres</t>
  </si>
  <si>
    <t>PN009</t>
  </si>
  <si>
    <t>Herramientas Informáticas</t>
  </si>
  <si>
    <t>PN010</t>
  </si>
  <si>
    <t>Desarrollo Emocional</t>
  </si>
  <si>
    <t>PN011</t>
  </si>
  <si>
    <t>Oratoria</t>
  </si>
  <si>
    <t>PN012</t>
  </si>
  <si>
    <t>Danza</t>
  </si>
  <si>
    <t>Puntaje</t>
  </si>
  <si>
    <t>Promedio</t>
  </si>
  <si>
    <t>Orden de Mérito</t>
  </si>
  <si>
    <t>ASPECTOS ESPECÍFICOS</t>
  </si>
  <si>
    <t>FORMAMOS</t>
  </si>
  <si>
    <t>MATEMÁTICA</t>
  </si>
  <si>
    <t>1°</t>
  </si>
  <si>
    <t>2°</t>
  </si>
  <si>
    <t>3°</t>
  </si>
  <si>
    <t>4°</t>
  </si>
  <si>
    <t>EMPRENDEDORES</t>
  </si>
  <si>
    <t>Aritmética</t>
  </si>
  <si>
    <t>Álgebra</t>
  </si>
  <si>
    <t>Geometría</t>
  </si>
  <si>
    <t>Razonamiento Matemático</t>
  </si>
  <si>
    <t>COMUNICACIÓN</t>
  </si>
  <si>
    <t>Gramática</t>
  </si>
  <si>
    <t>Comprensión Lectora</t>
  </si>
  <si>
    <t>P. Ortográfico</t>
  </si>
  <si>
    <t>Razonamiento Verbal</t>
  </si>
  <si>
    <t>PERSONAL SOCIAL</t>
  </si>
  <si>
    <t>Historia</t>
  </si>
  <si>
    <t>Geografía</t>
  </si>
  <si>
    <t>Gestión Empresarial</t>
  </si>
  <si>
    <t>CIENCIA Y TECNOLOGÍA</t>
  </si>
  <si>
    <t>Biología</t>
  </si>
  <si>
    <t>Física</t>
  </si>
  <si>
    <t>CONDUCTA</t>
  </si>
  <si>
    <t>Comportamiento</t>
  </si>
  <si>
    <t>ASISTENCIA</t>
  </si>
  <si>
    <t>Asistencia</t>
  </si>
  <si>
    <t>Inasistencias Justificadas</t>
  </si>
  <si>
    <t>Inasistencias Injustificadas</t>
  </si>
  <si>
    <t>Tardanza</t>
  </si>
  <si>
    <t>RECOMENDACIONES DEL DOCENTE</t>
  </si>
  <si>
    <t>___________________                                                                      ___________________                                                                  ___________________</t>
  </si>
  <si>
    <t xml:space="preserve">     Docente                                                                   Coordinación                                                       Socio (PP. FF.)</t>
  </si>
  <si>
    <t>REPORTE BIMESTRAL DE NOTAS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</si>
</sst>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Calibri"/>
      <scheme val="minor"/>
    </font>
    <font>
      <sz val="10"/>
      <color rgb="FF000000"/>
      <name val="Arial"/>
      <family val="2"/>
    </font>
    <font>
      <b/>
      <sz val="16"/>
      <color theme="0"/>
      <name val="Overlock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Britannic Bold"/>
      <family val="2"/>
    </font>
    <font>
      <sz val="10"/>
      <name val="Britannic Bold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9"/>
      <color rgb="FF000099"/>
      <name val="Arial"/>
      <family val="2"/>
    </font>
    <font>
      <b/>
      <sz val="10"/>
      <color theme="1"/>
      <name val="Arial"/>
      <family val="2"/>
    </font>
    <font>
      <b/>
      <sz val="9"/>
      <color rgb="FF000099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9"/>
      <color theme="0"/>
      <name val="Arial"/>
      <family val="2"/>
    </font>
    <font>
      <b/>
      <sz val="14"/>
      <color theme="0"/>
      <name val="Arial"/>
      <family val="2"/>
    </font>
    <font>
      <sz val="28"/>
      <color theme="0"/>
      <name val="Erica One"/>
    </font>
    <font>
      <sz val="24"/>
      <color theme="0"/>
      <name val="Erica One"/>
    </font>
    <font>
      <sz val="10"/>
      <color rgb="FF000099"/>
      <name val="Arial"/>
      <family val="2"/>
    </font>
    <font>
      <b/>
      <sz val="12"/>
      <color theme="0"/>
      <name val="Arial"/>
      <family val="2"/>
    </font>
    <font>
      <sz val="9"/>
      <color rgb="FF000000"/>
      <name val="Arial"/>
      <family val="2"/>
    </font>
    <font>
      <sz val="10"/>
      <color rgb="FFFF9966"/>
      <name val="Arial"/>
      <family val="2"/>
    </font>
    <font>
      <b/>
      <sz val="9"/>
      <color theme="1"/>
      <name val="Berlin Sans FB Demi"/>
      <family val="2"/>
    </font>
    <font>
      <b/>
      <sz val="28"/>
      <color theme="4" tint="-0.499984740745262"/>
      <name val="Berlin Sans FB"/>
      <family val="2"/>
    </font>
    <font>
      <b/>
      <sz val="28"/>
      <color theme="0"/>
      <name val="Overlock"/>
    </font>
    <font>
      <sz val="9"/>
      <color rgb="FF0000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9966"/>
        <bgColor rgb="FFFF6600"/>
      </patternFill>
    </fill>
    <fill>
      <patternFill patternType="solid">
        <fgColor rgb="FFFF9966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0" tint="-0.14999847407452621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 tint="-0.14999847407452621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0" tint="-0.14999847407452621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0" tint="-0.14999847407452621"/>
      </left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rgb="FFCCC0D9"/>
      </left>
      <right style="thin">
        <color rgb="FFCCC0D9"/>
      </right>
      <top/>
      <bottom style="thin">
        <color rgb="FFCCC0D9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CCC0D9"/>
      </left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rgb="FFCCC0D9"/>
      </left>
      <right/>
      <top style="thin">
        <color rgb="FFCCC0D9"/>
      </top>
      <bottom style="thin">
        <color rgb="FFCCC0D9"/>
      </bottom>
      <diagonal/>
    </border>
    <border>
      <left/>
      <right/>
      <top style="thin">
        <color rgb="FFCCC0D9"/>
      </top>
      <bottom style="thin">
        <color rgb="FFCCC0D9"/>
      </bottom>
      <diagonal/>
    </border>
    <border>
      <left/>
      <right style="thin">
        <color rgb="FFCCC0D9"/>
      </right>
      <top style="thin">
        <color rgb="FFCCC0D9"/>
      </top>
      <bottom style="thin">
        <color rgb="FFCCC0D9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11" xfId="0" applyFont="1" applyBorder="1" applyAlignment="1">
      <alignment vertical="center"/>
    </xf>
    <xf numFmtId="1" fontId="9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8" borderId="1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4" fillId="9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7" fillId="0" borderId="2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12" fillId="8" borderId="12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4" xfId="0" applyFont="1" applyBorder="1"/>
    <xf numFmtId="0" fontId="21" fillId="6" borderId="2" xfId="0" applyFont="1" applyFill="1" applyBorder="1" applyAlignment="1">
      <alignment horizontal="center" vertical="center"/>
    </xf>
    <xf numFmtId="0" fontId="8" fillId="2" borderId="3" xfId="0" applyFont="1" applyFill="1" applyBorder="1"/>
    <xf numFmtId="0" fontId="8" fillId="2" borderId="4" xfId="0" applyFont="1" applyFill="1" applyBorder="1"/>
    <xf numFmtId="0" fontId="17" fillId="6" borderId="2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 textRotation="90"/>
    </xf>
    <xf numFmtId="0" fontId="18" fillId="7" borderId="15" xfId="0" applyFont="1" applyFill="1" applyBorder="1" applyAlignment="1">
      <alignment horizontal="center" vertical="center" textRotation="90"/>
    </xf>
    <xf numFmtId="0" fontId="18" fillId="7" borderId="16" xfId="0" applyFont="1" applyFill="1" applyBorder="1" applyAlignment="1">
      <alignment horizontal="center" vertical="center" textRotation="90"/>
    </xf>
    <xf numFmtId="0" fontId="19" fillId="7" borderId="13" xfId="0" applyFont="1" applyFill="1" applyBorder="1" applyAlignment="1">
      <alignment horizontal="center" vertical="center" textRotation="90"/>
    </xf>
    <xf numFmtId="0" fontId="19" fillId="7" borderId="15" xfId="0" applyFont="1" applyFill="1" applyBorder="1" applyAlignment="1">
      <alignment horizontal="center" vertical="center" textRotation="90"/>
    </xf>
    <xf numFmtId="0" fontId="19" fillId="7" borderId="16" xfId="0" applyFont="1" applyFill="1" applyBorder="1" applyAlignment="1">
      <alignment horizontal="center" vertical="center" textRotation="90"/>
    </xf>
    <xf numFmtId="0" fontId="11" fillId="0" borderId="12" xfId="0" applyFont="1" applyBorder="1" applyAlignment="1">
      <alignment horizontal="center" vertical="center"/>
    </xf>
    <xf numFmtId="0" fontId="15" fillId="0" borderId="12" xfId="0" applyFont="1" applyBorder="1"/>
    <xf numFmtId="0" fontId="9" fillId="0" borderId="12" xfId="0" applyFont="1" applyBorder="1" applyAlignment="1">
      <alignment horizontal="center" vertical="center"/>
    </xf>
    <xf numFmtId="0" fontId="25" fillId="3" borderId="0" xfId="0" applyFont="1" applyFill="1" applyAlignment="1">
      <alignment horizontal="right" vertical="center"/>
    </xf>
    <xf numFmtId="0" fontId="26" fillId="3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6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12" fillId="7" borderId="5" xfId="0" applyFont="1" applyFill="1" applyBorder="1" applyAlignment="1">
      <alignment horizontal="center" vertical="center"/>
    </xf>
    <xf numFmtId="0" fontId="8" fillId="2" borderId="6" xfId="0" applyFont="1" applyFill="1" applyBorder="1"/>
    <xf numFmtId="0" fontId="12" fillId="7" borderId="7" xfId="0" applyFont="1" applyFill="1" applyBorder="1" applyAlignment="1">
      <alignment horizontal="center" vertical="center"/>
    </xf>
    <xf numFmtId="0" fontId="8" fillId="2" borderId="8" xfId="0" applyFont="1" applyFill="1" applyBorder="1"/>
    <xf numFmtId="1" fontId="9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75F5-636A-4D4C-ABC9-42FA8BE4C666}">
  <sheetPr codeName="Hoja3">
    <tabColor rgb="FFFF0000"/>
    <pageSetUpPr fitToPage="1"/>
  </sheetPr>
  <dimension ref="A1:Z992"/>
  <sheetViews>
    <sheetView showGridLines="0" tabSelected="1" topLeftCell="A43" zoomScaleNormal="100" workbookViewId="0">
      <selection activeCell="D72" sqref="D72:M72"/>
    </sheetView>
  </sheetViews>
  <sheetFormatPr baseColWidth="10" defaultColWidth="12.5703125" defaultRowHeight="15" customHeight="1"/>
  <cols>
    <col min="1" max="1" width="2.42578125" style="3" customWidth="1"/>
    <col min="2" max="2" width="5.7109375" style="3" customWidth="1"/>
    <col min="3" max="3" width="8.7109375" style="3" customWidth="1"/>
    <col min="4" max="4" width="55.28515625" style="3" customWidth="1"/>
    <col min="5" max="5" width="1" style="3" customWidth="1"/>
    <col min="6" max="13" width="7" style="3" customWidth="1"/>
    <col min="14" max="14" width="10" style="3" customWidth="1"/>
    <col min="15" max="15" width="4.28515625" style="3" customWidth="1"/>
    <col min="16" max="16" width="2" style="3" customWidth="1"/>
    <col min="17" max="26" width="9.28515625" style="3" customWidth="1"/>
    <col min="27" max="16384" width="12.5703125" style="3"/>
  </cols>
  <sheetData>
    <row r="1" spans="1:26" ht="14.25" customHeight="1">
      <c r="A1" s="42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customHeight="1">
      <c r="A2" s="1"/>
      <c r="B2" s="39"/>
      <c r="C2" s="43"/>
      <c r="D2" s="64"/>
      <c r="E2" s="65"/>
      <c r="F2" s="65"/>
      <c r="G2" s="65"/>
      <c r="H2" s="65"/>
      <c r="I2" s="65"/>
      <c r="J2" s="65"/>
      <c r="K2" s="65"/>
      <c r="L2" s="65"/>
      <c r="M2" s="65"/>
      <c r="N2" s="65"/>
      <c r="O2" s="4"/>
      <c r="P2" s="1"/>
      <c r="Q2" s="2"/>
      <c r="R2" s="2"/>
      <c r="S2" s="2"/>
      <c r="T2" s="2"/>
      <c r="U2" s="5"/>
      <c r="V2" s="5"/>
      <c r="W2" s="5"/>
      <c r="X2" s="5"/>
      <c r="Y2" s="5"/>
      <c r="Z2" s="5"/>
    </row>
    <row r="3" spans="1:26" ht="75" customHeight="1">
      <c r="A3" s="1"/>
      <c r="B3" s="39"/>
      <c r="C3" s="43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2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customHeight="1">
      <c r="A4" s="1"/>
      <c r="B4" s="39"/>
      <c r="C4" s="69"/>
      <c r="D4" s="70"/>
      <c r="E4" s="70"/>
      <c r="F4" s="70"/>
      <c r="G4" s="71" t="s">
        <v>0</v>
      </c>
      <c r="H4" s="72"/>
      <c r="I4" s="72"/>
      <c r="J4" s="72"/>
      <c r="K4" s="7"/>
      <c r="L4" s="7"/>
      <c r="M4" s="7"/>
      <c r="N4" s="7"/>
      <c r="O4" s="8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" customHeight="1">
      <c r="A5" s="1"/>
      <c r="B5" s="3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/>
      <c r="O5" s="2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>
      <c r="A6" s="1"/>
      <c r="B6" s="39"/>
      <c r="C6" s="9" t="s">
        <v>1</v>
      </c>
      <c r="D6" s="10"/>
      <c r="E6" s="11"/>
      <c r="F6" s="68" t="s">
        <v>2</v>
      </c>
      <c r="G6" s="52"/>
      <c r="H6" s="53"/>
      <c r="I6" s="12"/>
      <c r="J6" s="68"/>
      <c r="K6" s="53"/>
      <c r="L6" s="12"/>
      <c r="M6" s="68"/>
      <c r="N6" s="53"/>
      <c r="O6" s="13"/>
      <c r="P6" s="1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8.25" customHeight="1">
      <c r="A7" s="1"/>
      <c r="B7" s="39"/>
      <c r="C7" s="15"/>
      <c r="D7" s="15"/>
      <c r="E7" s="15"/>
      <c r="F7" s="16"/>
      <c r="G7" s="16"/>
      <c r="H7" s="16"/>
      <c r="I7" s="16"/>
      <c r="J7" s="16"/>
      <c r="K7" s="16"/>
      <c r="L7" s="16"/>
      <c r="M7" s="16"/>
      <c r="N7" s="17"/>
      <c r="O7" s="2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>
      <c r="A8" s="1"/>
      <c r="B8" s="39"/>
      <c r="C8" s="15"/>
      <c r="D8" s="15"/>
      <c r="E8" s="15"/>
      <c r="F8" s="73" t="s">
        <v>3</v>
      </c>
      <c r="G8" s="74"/>
      <c r="H8" s="73" t="s">
        <v>4</v>
      </c>
      <c r="I8" s="74"/>
      <c r="J8" s="75" t="s">
        <v>5</v>
      </c>
      <c r="K8" s="76"/>
      <c r="L8" s="73" t="s">
        <v>6</v>
      </c>
      <c r="M8" s="74"/>
      <c r="N8" s="18" t="s">
        <v>7</v>
      </c>
      <c r="O8" s="2"/>
      <c r="P8" s="1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1"/>
      <c r="B9" s="39"/>
      <c r="C9" s="15"/>
      <c r="D9" s="15"/>
      <c r="E9" s="15"/>
      <c r="F9" s="16"/>
      <c r="G9" s="16"/>
      <c r="H9" s="16"/>
      <c r="I9" s="16"/>
      <c r="J9" s="16"/>
      <c r="K9" s="16"/>
      <c r="L9" s="16"/>
      <c r="M9" s="16"/>
      <c r="N9" s="17"/>
      <c r="O9" s="2"/>
      <c r="P9" s="1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.75" customHeight="1">
      <c r="A10" s="1"/>
      <c r="B10" s="39"/>
      <c r="C10" s="18" t="s">
        <v>1</v>
      </c>
      <c r="D10" s="18" t="s">
        <v>8</v>
      </c>
      <c r="E10" s="2"/>
      <c r="F10" s="19" t="s">
        <v>9</v>
      </c>
      <c r="G10" s="19" t="s">
        <v>10</v>
      </c>
      <c r="H10" s="19" t="s">
        <v>9</v>
      </c>
      <c r="I10" s="19" t="s">
        <v>10</v>
      </c>
      <c r="J10" s="19" t="s">
        <v>9</v>
      </c>
      <c r="K10" s="19" t="s">
        <v>10</v>
      </c>
      <c r="L10" s="19" t="s">
        <v>9</v>
      </c>
      <c r="M10" s="19" t="s">
        <v>10</v>
      </c>
      <c r="N10" s="20" t="s">
        <v>11</v>
      </c>
      <c r="O10" s="2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1"/>
      <c r="B11" s="39"/>
      <c r="C11" s="21" t="s">
        <v>12</v>
      </c>
      <c r="D11" s="22" t="s">
        <v>13</v>
      </c>
      <c r="E11" s="2"/>
      <c r="F11" s="23"/>
      <c r="G11" s="23" t="str">
        <f t="shared" ref="G11:G18" si="0">IF(F11&gt;17,"AD",IF(F11&gt;13,"A",IF(F11&gt;10,"B",IF(F11&lt;=10,"C"))))</f>
        <v>C</v>
      </c>
      <c r="H11" s="23"/>
      <c r="I11" s="23" t="str">
        <f t="shared" ref="I11:I18" si="1">IF(H11&gt;17,"AD",IF(H11&gt;13,"A",IF(H11&gt;10,"B",IF(H11&lt;=10,"C"))))</f>
        <v>C</v>
      </c>
      <c r="J11" s="23"/>
      <c r="K11" s="23" t="str">
        <f t="shared" ref="K11:K18" si="2">IF(J11&gt;17,"AD",IF(J11&gt;13,"A",IF(J11&gt;10,"B",IF(J11&lt;=10,"C"))))</f>
        <v>C</v>
      </c>
      <c r="L11" s="23"/>
      <c r="M11" s="23" t="str">
        <f t="shared" ref="M11:M18" si="3">IF(L11&gt;17,"AD",IF(L11&gt;13,"A",IF(L11&gt;10,"B",IF(L11&lt;=10,"C"))))</f>
        <v>C</v>
      </c>
      <c r="N11" s="23" t="str">
        <f t="shared" ref="N11:N18" si="4">IFERROR(ROUND(AVERAGE(L11,J11,H11,F11),0),"-")</f>
        <v>-</v>
      </c>
      <c r="O11" s="2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1"/>
      <c r="B12" s="39"/>
      <c r="C12" s="21" t="s">
        <v>14</v>
      </c>
      <c r="D12" s="24" t="s">
        <v>15</v>
      </c>
      <c r="E12" s="2"/>
      <c r="F12" s="25"/>
      <c r="G12" s="25" t="str">
        <f t="shared" si="0"/>
        <v>C</v>
      </c>
      <c r="H12" s="25"/>
      <c r="I12" s="25" t="str">
        <f t="shared" si="1"/>
        <v>C</v>
      </c>
      <c r="J12" s="25"/>
      <c r="K12" s="25" t="str">
        <f t="shared" si="2"/>
        <v>C</v>
      </c>
      <c r="L12" s="25"/>
      <c r="M12" s="25" t="str">
        <f t="shared" si="3"/>
        <v>C</v>
      </c>
      <c r="N12" s="25" t="str">
        <f t="shared" si="4"/>
        <v>-</v>
      </c>
      <c r="O12" s="2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1"/>
      <c r="B13" s="39"/>
      <c r="C13" s="21" t="s">
        <v>16</v>
      </c>
      <c r="D13" s="24" t="s">
        <v>17</v>
      </c>
      <c r="E13" s="2"/>
      <c r="F13" s="25"/>
      <c r="G13" s="25" t="str">
        <f t="shared" si="0"/>
        <v>C</v>
      </c>
      <c r="H13" s="25"/>
      <c r="I13" s="25" t="str">
        <f t="shared" si="1"/>
        <v>C</v>
      </c>
      <c r="J13" s="25"/>
      <c r="K13" s="25" t="str">
        <f t="shared" si="2"/>
        <v>C</v>
      </c>
      <c r="L13" s="25"/>
      <c r="M13" s="25" t="str">
        <f t="shared" si="3"/>
        <v>C</v>
      </c>
      <c r="N13" s="25" t="str">
        <f t="shared" si="4"/>
        <v>-</v>
      </c>
      <c r="O13" s="2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1"/>
      <c r="B14" s="39"/>
      <c r="C14" s="21" t="s">
        <v>18</v>
      </c>
      <c r="D14" s="24" t="s">
        <v>19</v>
      </c>
      <c r="E14" s="2"/>
      <c r="F14" s="25"/>
      <c r="G14" s="25" t="str">
        <f t="shared" si="0"/>
        <v>C</v>
      </c>
      <c r="H14" s="25"/>
      <c r="I14" s="25" t="str">
        <f t="shared" si="1"/>
        <v>C</v>
      </c>
      <c r="J14" s="25"/>
      <c r="K14" s="25" t="str">
        <f t="shared" si="2"/>
        <v>C</v>
      </c>
      <c r="L14" s="25"/>
      <c r="M14" s="25" t="str">
        <f t="shared" si="3"/>
        <v>C</v>
      </c>
      <c r="N14" s="25" t="str">
        <f t="shared" si="4"/>
        <v>-</v>
      </c>
      <c r="O14" s="2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1"/>
      <c r="B15" s="39"/>
      <c r="C15" s="21" t="s">
        <v>20</v>
      </c>
      <c r="D15" s="24" t="s">
        <v>21</v>
      </c>
      <c r="E15" s="2"/>
      <c r="F15" s="25"/>
      <c r="G15" s="25" t="str">
        <f t="shared" si="0"/>
        <v>C</v>
      </c>
      <c r="H15" s="25"/>
      <c r="I15" s="25" t="str">
        <f t="shared" si="1"/>
        <v>C</v>
      </c>
      <c r="J15" s="25"/>
      <c r="K15" s="25" t="str">
        <f t="shared" si="2"/>
        <v>C</v>
      </c>
      <c r="L15" s="25"/>
      <c r="M15" s="25" t="str">
        <f t="shared" si="3"/>
        <v>C</v>
      </c>
      <c r="N15" s="25" t="str">
        <f t="shared" si="4"/>
        <v>-</v>
      </c>
      <c r="O15" s="2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1"/>
      <c r="B16" s="39"/>
      <c r="C16" s="21" t="s">
        <v>22</v>
      </c>
      <c r="D16" s="24" t="s">
        <v>23</v>
      </c>
      <c r="E16"/>
      <c r="F16" s="23"/>
      <c r="G16" s="23" t="str">
        <f t="shared" si="0"/>
        <v>C</v>
      </c>
      <c r="H16" s="23"/>
      <c r="I16" s="23" t="str">
        <f t="shared" si="1"/>
        <v>C</v>
      </c>
      <c r="J16" s="23"/>
      <c r="K16" s="23" t="str">
        <f t="shared" si="2"/>
        <v>C</v>
      </c>
      <c r="L16" s="23"/>
      <c r="M16" s="23" t="str">
        <f t="shared" si="3"/>
        <v>C</v>
      </c>
      <c r="N16" s="23" t="str">
        <f t="shared" si="4"/>
        <v>-</v>
      </c>
      <c r="O16" s="2"/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1"/>
      <c r="B17" s="39"/>
      <c r="C17" s="21" t="s">
        <v>24</v>
      </c>
      <c r="D17" s="24" t="s">
        <v>25</v>
      </c>
      <c r="E17"/>
      <c r="F17" s="25"/>
      <c r="G17" s="25" t="str">
        <f t="shared" si="0"/>
        <v>C</v>
      </c>
      <c r="H17" s="25"/>
      <c r="I17" s="25" t="str">
        <f t="shared" si="1"/>
        <v>C</v>
      </c>
      <c r="J17" s="25"/>
      <c r="K17" s="25" t="str">
        <f t="shared" si="2"/>
        <v>C</v>
      </c>
      <c r="L17" s="25"/>
      <c r="M17" s="25" t="str">
        <f t="shared" si="3"/>
        <v>C</v>
      </c>
      <c r="N17" s="25" t="str">
        <f t="shared" si="4"/>
        <v>-</v>
      </c>
      <c r="O17" s="2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1"/>
      <c r="B18" s="39"/>
      <c r="C18" s="21" t="s">
        <v>26</v>
      </c>
      <c r="D18" s="24" t="s">
        <v>27</v>
      </c>
      <c r="E18"/>
      <c r="F18" s="25"/>
      <c r="G18" s="25" t="str">
        <f t="shared" si="0"/>
        <v>C</v>
      </c>
      <c r="H18" s="25"/>
      <c r="I18" s="25" t="str">
        <f t="shared" si="1"/>
        <v>C</v>
      </c>
      <c r="J18" s="25"/>
      <c r="K18" s="25" t="str">
        <f t="shared" si="2"/>
        <v>C</v>
      </c>
      <c r="L18" s="25"/>
      <c r="M18" s="25" t="str">
        <f t="shared" si="3"/>
        <v>C</v>
      </c>
      <c r="N18" s="25" t="str">
        <f t="shared" si="4"/>
        <v>-</v>
      </c>
      <c r="O18" s="2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1"/>
      <c r="B19" s="39"/>
      <c r="C19" s="6"/>
      <c r="D19" s="8"/>
      <c r="E19"/>
      <c r="F19" s="26"/>
      <c r="G19" s="26"/>
      <c r="H19" s="26"/>
      <c r="I19" s="26"/>
      <c r="J19" s="26"/>
      <c r="K19" s="26"/>
      <c r="L19" s="26"/>
      <c r="M19" s="26"/>
      <c r="N19" s="26"/>
      <c r="O19" s="2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1"/>
      <c r="B20" s="39"/>
      <c r="C20" s="18" t="s">
        <v>1</v>
      </c>
      <c r="D20" s="18" t="s">
        <v>28</v>
      </c>
      <c r="E20" s="2"/>
      <c r="F20" s="19" t="s">
        <v>9</v>
      </c>
      <c r="G20" s="19" t="s">
        <v>10</v>
      </c>
      <c r="H20" s="19" t="s">
        <v>9</v>
      </c>
      <c r="I20" s="19" t="s">
        <v>10</v>
      </c>
      <c r="J20" s="19" t="s">
        <v>9</v>
      </c>
      <c r="K20" s="19" t="s">
        <v>10</v>
      </c>
      <c r="L20" s="19" t="s">
        <v>9</v>
      </c>
      <c r="M20" s="19" t="s">
        <v>10</v>
      </c>
      <c r="N20" s="20" t="s">
        <v>11</v>
      </c>
      <c r="O20" s="2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1"/>
      <c r="B21" s="39"/>
      <c r="C21" s="21" t="s">
        <v>29</v>
      </c>
      <c r="D21" s="24" t="s">
        <v>30</v>
      </c>
      <c r="E21" s="2"/>
      <c r="F21" s="23"/>
      <c r="G21" s="23" t="str">
        <f t="shared" ref="G21:G24" si="5">IF(F21&gt;17,"AD",IF(F21&gt;13,"A",IF(F21&gt;10,"B",IF(F21&lt;=10,"C"))))</f>
        <v>C</v>
      </c>
      <c r="H21" s="23"/>
      <c r="I21" s="23" t="str">
        <f>IF(H21&gt;17,"AD",IF(H21&gt;13,"A",IF(H21&gt;10,"B",IF(H21&lt;=10,"C"))))</f>
        <v>C</v>
      </c>
      <c r="J21" s="23"/>
      <c r="K21" s="23" t="str">
        <f t="shared" ref="K21:K24" si="6">IF(J21&gt;17,"AD",IF(J21&gt;13,"A",IF(J21&gt;10,"B",IF(J21&lt;=10,"C"))))</f>
        <v>C</v>
      </c>
      <c r="L21" s="23"/>
      <c r="M21" s="23" t="str">
        <f t="shared" ref="M21:M24" si="7">IF(L21&gt;17,"AD",IF(L21&gt;13,"A",IF(L21&gt;10,"B",IF(L21&lt;=10,"C"))))</f>
        <v>C</v>
      </c>
      <c r="N21" s="23" t="str">
        <f>IFERROR(ROUND(AVERAGE(L21,J21,H21,F21),0),"-")</f>
        <v>-</v>
      </c>
      <c r="O21" s="2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B22" s="39"/>
      <c r="C22" s="21" t="s">
        <v>31</v>
      </c>
      <c r="D22" s="24" t="s">
        <v>32</v>
      </c>
      <c r="E22" s="2"/>
      <c r="F22" s="25"/>
      <c r="G22" s="25" t="str">
        <f t="shared" si="5"/>
        <v>C</v>
      </c>
      <c r="H22" s="25"/>
      <c r="I22" s="25" t="str">
        <f t="shared" ref="I22:I24" si="8">IF(H22&gt;17,"AD",IF(H22&gt;13,"A",IF(H22&gt;10,"B",IF(H22&lt;=10,"C"))))</f>
        <v>C</v>
      </c>
      <c r="J22" s="25"/>
      <c r="K22" s="25" t="str">
        <f t="shared" si="6"/>
        <v>C</v>
      </c>
      <c r="L22" s="25"/>
      <c r="M22" s="25" t="str">
        <f t="shared" si="7"/>
        <v>C</v>
      </c>
      <c r="N22" s="25" t="str">
        <f>IFERROR(ROUND(AVERAGE(L22,J22,H22,F22),0),"-")</f>
        <v>-</v>
      </c>
      <c r="O22" s="2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1"/>
      <c r="B23" s="39"/>
      <c r="C23" s="21" t="s">
        <v>33</v>
      </c>
      <c r="D23" s="24" t="s">
        <v>34</v>
      </c>
      <c r="E23" s="2"/>
      <c r="F23" s="25"/>
      <c r="G23" s="25" t="str">
        <f t="shared" si="5"/>
        <v>C</v>
      </c>
      <c r="H23" s="25"/>
      <c r="I23" s="25" t="str">
        <f t="shared" si="8"/>
        <v>C</v>
      </c>
      <c r="J23" s="25"/>
      <c r="K23" s="25" t="str">
        <f t="shared" si="6"/>
        <v>C</v>
      </c>
      <c r="L23" s="25"/>
      <c r="M23" s="25" t="str">
        <f t="shared" si="7"/>
        <v>C</v>
      </c>
      <c r="N23" s="25" t="str">
        <f>IFERROR(ROUND(AVERAGE(L23,J23,H23,F23),0),"-")</f>
        <v>-</v>
      </c>
      <c r="O23" s="2"/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1"/>
      <c r="B24" s="39"/>
      <c r="C24" s="21" t="s">
        <v>35</v>
      </c>
      <c r="D24" s="24" t="s">
        <v>36</v>
      </c>
      <c r="E24" s="2"/>
      <c r="F24" s="25"/>
      <c r="G24" s="25" t="str">
        <f t="shared" si="5"/>
        <v>C</v>
      </c>
      <c r="H24" s="25"/>
      <c r="I24" s="25" t="str">
        <f t="shared" si="8"/>
        <v>C</v>
      </c>
      <c r="J24" s="25"/>
      <c r="K24" s="25" t="str">
        <f t="shared" si="6"/>
        <v>C</v>
      </c>
      <c r="L24" s="25"/>
      <c r="M24" s="25" t="str">
        <f t="shared" si="7"/>
        <v>C</v>
      </c>
      <c r="N24" s="25" t="str">
        <f>IFERROR(ROUND(AVERAGE(L24,J24,H24,F24),0),"-")</f>
        <v>-</v>
      </c>
      <c r="O24" s="2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1"/>
      <c r="B25" s="3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2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/>
      <c r="B26" s="39"/>
      <c r="C26" s="2"/>
      <c r="D26" s="27" t="s">
        <v>37</v>
      </c>
      <c r="E26" s="2"/>
      <c r="F26" s="77"/>
      <c r="G26" s="49"/>
      <c r="H26" s="77"/>
      <c r="I26" s="49"/>
      <c r="J26" s="77"/>
      <c r="K26" s="49"/>
      <c r="L26" s="77"/>
      <c r="M26" s="49"/>
      <c r="N26" s="28" t="str">
        <f>IFERROR(ROUND(AVERAGE(L26,J26,H26,F26),0),"-")</f>
        <v>-</v>
      </c>
      <c r="O26" s="2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B27" s="39"/>
      <c r="C27" s="2"/>
      <c r="D27" s="27" t="s">
        <v>38</v>
      </c>
      <c r="E27" s="2"/>
      <c r="F27" s="61"/>
      <c r="G27" s="62"/>
      <c r="H27" s="61"/>
      <c r="I27" s="62"/>
      <c r="J27" s="61"/>
      <c r="K27" s="62"/>
      <c r="L27" s="61"/>
      <c r="M27" s="62"/>
      <c r="N27" s="29" t="str">
        <f>IFERROR(ROUND(AVERAGE(L27,J27,H27,F27),0),"-")</f>
        <v>-</v>
      </c>
      <c r="O27" s="2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/>
      <c r="B28" s="39"/>
      <c r="C28" s="2"/>
      <c r="D28" s="27" t="s">
        <v>39</v>
      </c>
      <c r="E28" s="2"/>
      <c r="F28" s="63"/>
      <c r="G28" s="49"/>
      <c r="H28" s="63"/>
      <c r="I28" s="49"/>
      <c r="J28" s="63"/>
      <c r="K28" s="49"/>
      <c r="L28" s="63"/>
      <c r="M28" s="49"/>
      <c r="N28" s="25" t="str">
        <f>IFERROR(ROUND(AVERAGE(L28,J28,H28,F28),0),"-")</f>
        <v>-</v>
      </c>
      <c r="O28" s="2"/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9" customHeight="1">
      <c r="A29" s="1"/>
      <c r="B29" s="39"/>
      <c r="C29" s="2"/>
      <c r="D29" s="2"/>
      <c r="E29" s="2"/>
      <c r="F29" s="2"/>
      <c r="G29" s="2"/>
      <c r="H29" s="2"/>
      <c r="I29" s="2"/>
      <c r="J29" s="2"/>
      <c r="K29" s="2"/>
      <c r="L29" s="4"/>
      <c r="M29" s="2"/>
      <c r="N29" s="30"/>
      <c r="O29" s="2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1"/>
      <c r="B30" s="39"/>
      <c r="C30" s="54" t="s">
        <v>40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3"/>
      <c r="O30" s="2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.75" customHeight="1">
      <c r="A31" s="1"/>
      <c r="B31" s="39"/>
      <c r="C31" s="7"/>
      <c r="D31" s="7"/>
      <c r="E31" s="7"/>
      <c r="F31" s="7"/>
      <c r="G31" s="7"/>
      <c r="H31" s="7"/>
      <c r="I31" s="7"/>
      <c r="J31" s="7"/>
      <c r="K31" s="2"/>
      <c r="L31" s="2"/>
      <c r="M31" s="7"/>
      <c r="N31" s="7"/>
      <c r="O31" s="2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/>
      <c r="B32" s="39"/>
      <c r="C32" s="55" t="s">
        <v>41</v>
      </c>
      <c r="D32" s="31" t="s">
        <v>42</v>
      </c>
      <c r="E32" s="7"/>
      <c r="F32" s="48" t="s">
        <v>43</v>
      </c>
      <c r="G32" s="49"/>
      <c r="H32" s="48" t="s">
        <v>44</v>
      </c>
      <c r="I32" s="49"/>
      <c r="J32" s="48" t="s">
        <v>45</v>
      </c>
      <c r="K32" s="49"/>
      <c r="L32" s="48" t="s">
        <v>46</v>
      </c>
      <c r="M32" s="50"/>
      <c r="N32" s="58" t="s">
        <v>47</v>
      </c>
      <c r="O32" s="2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/>
      <c r="B33" s="39"/>
      <c r="C33" s="56"/>
      <c r="D33" s="24" t="s">
        <v>48</v>
      </c>
      <c r="E33" s="32"/>
      <c r="F33" s="25"/>
      <c r="G33" s="25" t="str">
        <f t="shared" ref="G33:G36" si="9">IF(F33&gt;17,"AD",IF(F33&gt;13,"A",IF(F33&gt;10,"B",IF(F33&lt;=10,"C"))))</f>
        <v>C</v>
      </c>
      <c r="H33" s="25"/>
      <c r="I33" s="25" t="str">
        <f t="shared" ref="I33:I36" si="10">IF(H33&gt;17,"AD",IF(H33&gt;13,"A",IF(H33&gt;10,"B",IF(H33&lt;=10,"C"))))</f>
        <v>C</v>
      </c>
      <c r="J33" s="25"/>
      <c r="K33" s="25" t="str">
        <f t="shared" ref="K33:K36" si="11">IF(J33&gt;17,"AD",IF(J33&gt;13,"A",IF(J33&gt;10,"B",IF(J33&lt;=10,"C"))))</f>
        <v>C</v>
      </c>
      <c r="L33" s="25"/>
      <c r="M33" s="25" t="str">
        <f t="shared" ref="M33:M36" si="12">IF(L33&gt;17,"AD",IF(L33&gt;13,"A",IF(L33&gt;10,"B",IF(L33&lt;=10,"C"))))</f>
        <v>C</v>
      </c>
      <c r="N33" s="59"/>
      <c r="O33" s="2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39"/>
      <c r="C34" s="56"/>
      <c r="D34" s="24" t="s">
        <v>49</v>
      </c>
      <c r="E34" s="32"/>
      <c r="F34" s="25"/>
      <c r="G34" s="25" t="str">
        <f t="shared" si="9"/>
        <v>C</v>
      </c>
      <c r="H34" s="25"/>
      <c r="I34" s="25" t="str">
        <f t="shared" si="10"/>
        <v>C</v>
      </c>
      <c r="J34" s="25"/>
      <c r="K34" s="25" t="str">
        <f t="shared" si="11"/>
        <v>C</v>
      </c>
      <c r="L34" s="25"/>
      <c r="M34" s="25" t="str">
        <f t="shared" si="12"/>
        <v>C</v>
      </c>
      <c r="N34" s="59"/>
      <c r="O34" s="2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39"/>
      <c r="C35" s="56"/>
      <c r="D35" s="24" t="s">
        <v>50</v>
      </c>
      <c r="E35" s="32"/>
      <c r="F35" s="25"/>
      <c r="G35" s="25" t="str">
        <f t="shared" si="9"/>
        <v>C</v>
      </c>
      <c r="H35" s="25"/>
      <c r="I35" s="25" t="str">
        <f t="shared" si="10"/>
        <v>C</v>
      </c>
      <c r="J35" s="25"/>
      <c r="K35" s="25" t="str">
        <f t="shared" si="11"/>
        <v>C</v>
      </c>
      <c r="L35" s="25"/>
      <c r="M35" s="25" t="str">
        <f t="shared" si="12"/>
        <v>C</v>
      </c>
      <c r="N35" s="59"/>
      <c r="O35" s="2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39"/>
      <c r="C36" s="56"/>
      <c r="D36" s="24" t="s">
        <v>51</v>
      </c>
      <c r="E36" s="32"/>
      <c r="F36" s="25"/>
      <c r="G36" s="25" t="str">
        <f t="shared" si="9"/>
        <v>C</v>
      </c>
      <c r="H36" s="25"/>
      <c r="I36" s="25" t="str">
        <f t="shared" si="10"/>
        <v>C</v>
      </c>
      <c r="J36" s="25"/>
      <c r="K36" s="25" t="str">
        <f t="shared" si="11"/>
        <v>C</v>
      </c>
      <c r="L36" s="25"/>
      <c r="M36" s="25" t="str">
        <f t="shared" si="12"/>
        <v>C</v>
      </c>
      <c r="N36" s="59"/>
      <c r="O36" s="2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0.5" customHeight="1">
      <c r="A37" s="1"/>
      <c r="B37" s="39"/>
      <c r="C37" s="56"/>
      <c r="D37" s="2"/>
      <c r="E37" s="2"/>
      <c r="F37" s="2"/>
      <c r="G37" s="2"/>
      <c r="H37" s="2"/>
      <c r="I37" s="2"/>
      <c r="J37" s="32"/>
      <c r="K37" s="32"/>
      <c r="L37" s="32"/>
      <c r="M37" s="2"/>
      <c r="N37" s="59"/>
      <c r="O37" s="2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39"/>
      <c r="C38" s="56"/>
      <c r="D38" s="31" t="s">
        <v>52</v>
      </c>
      <c r="E38" s="7"/>
      <c r="F38" s="48" t="s">
        <v>43</v>
      </c>
      <c r="G38" s="49"/>
      <c r="H38" s="48" t="s">
        <v>44</v>
      </c>
      <c r="I38" s="49"/>
      <c r="J38" s="48" t="s">
        <v>45</v>
      </c>
      <c r="K38" s="49"/>
      <c r="L38" s="48" t="s">
        <v>46</v>
      </c>
      <c r="M38" s="50"/>
      <c r="N38" s="59"/>
      <c r="O38" s="2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39"/>
      <c r="C39" s="56"/>
      <c r="D39" s="24" t="s">
        <v>53</v>
      </c>
      <c r="E39" s="32"/>
      <c r="F39" s="25"/>
      <c r="G39" s="25" t="str">
        <f t="shared" ref="G39:G42" si="13">IF(F39&gt;17,"AD",IF(F39&gt;13,"A",IF(F39&gt;10,"B",IF(F39&lt;=10,"C"))))</f>
        <v>C</v>
      </c>
      <c r="H39" s="25"/>
      <c r="I39" s="25" t="str">
        <f t="shared" ref="I39:I42" si="14">IF(H39&gt;17,"AD",IF(H39&gt;13,"A",IF(H39&gt;10,"B",IF(H39&lt;=10,"C"))))</f>
        <v>C</v>
      </c>
      <c r="J39" s="25"/>
      <c r="K39" s="25" t="str">
        <f t="shared" ref="K39:K42" si="15">IF(J39&gt;17,"AD",IF(J39&gt;13,"A",IF(J39&gt;10,"B",IF(J39&lt;=10,"C"))))</f>
        <v>C</v>
      </c>
      <c r="L39" s="25"/>
      <c r="M39" s="25" t="str">
        <f t="shared" ref="M39:M42" si="16">IF(L39&gt;17,"AD",IF(L39&gt;13,"A",IF(L39&gt;10,"B",IF(L39&lt;=10,"C"))))</f>
        <v>C</v>
      </c>
      <c r="N39" s="59"/>
      <c r="O39" s="2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1"/>
      <c r="B40" s="39"/>
      <c r="C40" s="56"/>
      <c r="D40" s="24" t="s">
        <v>54</v>
      </c>
      <c r="E40" s="32"/>
      <c r="F40" s="25"/>
      <c r="G40" s="25" t="str">
        <f t="shared" si="13"/>
        <v>C</v>
      </c>
      <c r="H40" s="25"/>
      <c r="I40" s="25" t="str">
        <f t="shared" si="14"/>
        <v>C</v>
      </c>
      <c r="J40" s="25"/>
      <c r="K40" s="25" t="str">
        <f t="shared" si="15"/>
        <v>C</v>
      </c>
      <c r="L40" s="25"/>
      <c r="M40" s="25" t="str">
        <f t="shared" si="16"/>
        <v>C</v>
      </c>
      <c r="N40" s="59"/>
      <c r="O40" s="2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1"/>
      <c r="B41" s="39"/>
      <c r="C41" s="56"/>
      <c r="D41" s="24" t="s">
        <v>55</v>
      </c>
      <c r="E41" s="32"/>
      <c r="F41" s="25"/>
      <c r="G41" s="25" t="str">
        <f t="shared" si="13"/>
        <v>C</v>
      </c>
      <c r="H41" s="25"/>
      <c r="I41" s="25" t="str">
        <f t="shared" si="14"/>
        <v>C</v>
      </c>
      <c r="J41" s="25"/>
      <c r="K41" s="25" t="str">
        <f t="shared" si="15"/>
        <v>C</v>
      </c>
      <c r="L41" s="25"/>
      <c r="M41" s="25" t="str">
        <f t="shared" si="16"/>
        <v>C</v>
      </c>
      <c r="N41" s="59"/>
      <c r="O41" s="2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1"/>
      <c r="B42" s="39"/>
      <c r="C42" s="56"/>
      <c r="D42" s="24" t="s">
        <v>56</v>
      </c>
      <c r="E42" s="32"/>
      <c r="F42" s="25"/>
      <c r="G42" s="25" t="str">
        <f t="shared" si="13"/>
        <v>C</v>
      </c>
      <c r="H42" s="25"/>
      <c r="I42" s="25" t="str">
        <f t="shared" si="14"/>
        <v>C</v>
      </c>
      <c r="J42" s="25"/>
      <c r="K42" s="25" t="str">
        <f t="shared" si="15"/>
        <v>C</v>
      </c>
      <c r="L42" s="25"/>
      <c r="M42" s="25" t="str">
        <f t="shared" si="16"/>
        <v>C</v>
      </c>
      <c r="N42" s="59"/>
      <c r="O42" s="2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39"/>
      <c r="C43" s="56"/>
      <c r="D43" s="24"/>
      <c r="E43" s="32"/>
      <c r="F43" s="25"/>
      <c r="G43" s="25"/>
      <c r="H43" s="25"/>
      <c r="I43" s="25"/>
      <c r="J43" s="25"/>
      <c r="K43" s="25"/>
      <c r="L43" s="25"/>
      <c r="M43" s="33"/>
      <c r="N43" s="59"/>
      <c r="O43" s="2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39"/>
      <c r="C44" s="56"/>
      <c r="D44" s="31" t="s">
        <v>57</v>
      </c>
      <c r="E44" s="7"/>
      <c r="F44" s="48" t="s">
        <v>43</v>
      </c>
      <c r="G44" s="49"/>
      <c r="H44" s="48" t="s">
        <v>44</v>
      </c>
      <c r="I44" s="49"/>
      <c r="J44" s="48" t="s">
        <v>45</v>
      </c>
      <c r="K44" s="49"/>
      <c r="L44" s="48" t="s">
        <v>46</v>
      </c>
      <c r="M44" s="50"/>
      <c r="N44" s="59"/>
      <c r="O44" s="2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39"/>
      <c r="C45" s="56"/>
      <c r="D45" s="24" t="s">
        <v>58</v>
      </c>
      <c r="E45" s="32"/>
      <c r="F45" s="25"/>
      <c r="G45" s="25" t="str">
        <f t="shared" ref="G45:G47" si="17">IF(F45&gt;17,"AD",IF(F45&gt;13,"A",IF(F45&gt;10,"B",IF(F45&lt;=10,"C"))))</f>
        <v>C</v>
      </c>
      <c r="H45" s="25"/>
      <c r="I45" s="25" t="str">
        <f t="shared" ref="I45:I47" si="18">IF(H45&gt;17,"AD",IF(H45&gt;13,"A",IF(H45&gt;10,"B",IF(H45&lt;=10,"C"))))</f>
        <v>C</v>
      </c>
      <c r="J45" s="25"/>
      <c r="K45" s="25" t="str">
        <f t="shared" ref="K45:K47" si="19">IF(J45&gt;17,"AD",IF(J45&gt;13,"A",IF(J45&gt;10,"B",IF(J45&lt;=10,"C"))))</f>
        <v>C</v>
      </c>
      <c r="L45" s="25"/>
      <c r="M45" s="25" t="str">
        <f t="shared" ref="M45:M47" si="20">IF(L45&gt;17,"AD",IF(L45&gt;13,"A",IF(L45&gt;10,"B",IF(L45&lt;=10,"C"))))</f>
        <v>C</v>
      </c>
      <c r="N45" s="59"/>
      <c r="O45" s="2"/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39"/>
      <c r="C46" s="56"/>
      <c r="D46" s="24" t="s">
        <v>59</v>
      </c>
      <c r="E46" s="32"/>
      <c r="F46" s="25"/>
      <c r="G46" s="25" t="str">
        <f t="shared" si="17"/>
        <v>C</v>
      </c>
      <c r="H46" s="25"/>
      <c r="I46" s="25" t="str">
        <f t="shared" si="18"/>
        <v>C</v>
      </c>
      <c r="J46" s="25"/>
      <c r="K46" s="25" t="str">
        <f t="shared" si="19"/>
        <v>C</v>
      </c>
      <c r="L46" s="25"/>
      <c r="M46" s="25" t="str">
        <f t="shared" si="20"/>
        <v>C</v>
      </c>
      <c r="N46" s="59"/>
      <c r="O46" s="2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39"/>
      <c r="C47" s="56"/>
      <c r="D47" s="24" t="s">
        <v>60</v>
      </c>
      <c r="E47" s="32"/>
      <c r="F47" s="25"/>
      <c r="G47" s="25" t="str">
        <f t="shared" si="17"/>
        <v>C</v>
      </c>
      <c r="H47" s="25"/>
      <c r="I47" s="25" t="str">
        <f t="shared" si="18"/>
        <v>C</v>
      </c>
      <c r="J47" s="25"/>
      <c r="K47" s="25" t="str">
        <f t="shared" si="19"/>
        <v>C</v>
      </c>
      <c r="L47" s="25"/>
      <c r="M47" s="25" t="str">
        <f t="shared" si="20"/>
        <v>C</v>
      </c>
      <c r="N47" s="59"/>
      <c r="O47" s="2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39"/>
      <c r="C48" s="56"/>
      <c r="D48" s="24"/>
      <c r="E48" s="32"/>
      <c r="F48" s="25"/>
      <c r="G48" s="25"/>
      <c r="H48" s="25"/>
      <c r="I48" s="25"/>
      <c r="J48" s="25"/>
      <c r="K48" s="25"/>
      <c r="L48" s="25"/>
      <c r="M48" s="33"/>
      <c r="N48" s="59"/>
      <c r="O48" s="2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39"/>
      <c r="C49" s="56"/>
      <c r="D49" s="31" t="s">
        <v>61</v>
      </c>
      <c r="E49" s="7"/>
      <c r="F49" s="48" t="s">
        <v>43</v>
      </c>
      <c r="G49" s="49"/>
      <c r="H49" s="48" t="s">
        <v>44</v>
      </c>
      <c r="I49" s="49"/>
      <c r="J49" s="48" t="s">
        <v>45</v>
      </c>
      <c r="K49" s="49"/>
      <c r="L49" s="48" t="s">
        <v>46</v>
      </c>
      <c r="M49" s="50"/>
      <c r="N49" s="59"/>
      <c r="O49" s="2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39"/>
      <c r="C50" s="56"/>
      <c r="D50" s="24" t="s">
        <v>62</v>
      </c>
      <c r="E50" s="32"/>
      <c r="F50" s="25"/>
      <c r="G50" s="25" t="str">
        <f t="shared" ref="G50:G51" si="21">IF(F50&gt;17,"AD",IF(F50&gt;13,"A",IF(F50&gt;10,"B",IF(F50&lt;=10,"C"))))</f>
        <v>C</v>
      </c>
      <c r="H50" s="25"/>
      <c r="I50" s="25" t="str">
        <f t="shared" ref="I50:I51" si="22">IF(H50&gt;17,"AD",IF(H50&gt;13,"A",IF(H50&gt;10,"B",IF(H50&lt;=10,"C"))))</f>
        <v>C</v>
      </c>
      <c r="J50" s="25"/>
      <c r="K50" s="25" t="str">
        <f t="shared" ref="K50:K51" si="23">IF(J50&gt;17,"AD",IF(J50&gt;13,"A",IF(J50&gt;10,"B",IF(J50&lt;=10,"C"))))</f>
        <v>C</v>
      </c>
      <c r="L50" s="25"/>
      <c r="M50" s="33" t="str">
        <f t="shared" ref="M50:M51" si="24">IF(L50&gt;17,"AD",IF(L50&gt;13,"A",IF(L50&gt;10,"B",IF(L50&lt;=10,"C"))))</f>
        <v>C</v>
      </c>
      <c r="N50" s="59"/>
      <c r="O50" s="2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hidden="1" customHeight="1">
      <c r="A51" s="1"/>
      <c r="B51" s="39"/>
      <c r="C51" s="56"/>
      <c r="D51" s="24" t="s">
        <v>63</v>
      </c>
      <c r="E51" s="32"/>
      <c r="F51" s="25"/>
      <c r="G51" s="25" t="str">
        <f t="shared" si="21"/>
        <v>C</v>
      </c>
      <c r="H51" s="25"/>
      <c r="I51" s="25" t="str">
        <f t="shared" si="22"/>
        <v>C</v>
      </c>
      <c r="J51" s="25"/>
      <c r="K51" s="25" t="str">
        <f t="shared" si="23"/>
        <v>C</v>
      </c>
      <c r="L51" s="25"/>
      <c r="M51" s="33" t="str">
        <f t="shared" si="24"/>
        <v>C</v>
      </c>
      <c r="N51" s="59"/>
      <c r="O51" s="2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7.5" customHeight="1">
      <c r="A52" s="1"/>
      <c r="B52" s="39"/>
      <c r="C52" s="56"/>
      <c r="D52" s="2"/>
      <c r="E52" s="2"/>
      <c r="F52" s="34"/>
      <c r="G52" s="34"/>
      <c r="H52" s="34"/>
      <c r="I52" s="34"/>
      <c r="J52" s="35"/>
      <c r="K52" s="35"/>
      <c r="L52" s="35"/>
      <c r="M52" s="36"/>
      <c r="N52" s="59"/>
      <c r="O52" s="2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39"/>
      <c r="C53" s="56"/>
      <c r="D53" s="31" t="s">
        <v>64</v>
      </c>
      <c r="E53" s="15"/>
      <c r="F53" s="48" t="s">
        <v>43</v>
      </c>
      <c r="G53" s="49"/>
      <c r="H53" s="48" t="s">
        <v>44</v>
      </c>
      <c r="I53" s="49"/>
      <c r="J53" s="48" t="s">
        <v>45</v>
      </c>
      <c r="K53" s="49"/>
      <c r="L53" s="48" t="s">
        <v>46</v>
      </c>
      <c r="M53" s="50"/>
      <c r="N53" s="59"/>
      <c r="O53" s="2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39"/>
      <c r="C54" s="56"/>
      <c r="D54" s="24" t="s">
        <v>65</v>
      </c>
      <c r="E54" s="2"/>
      <c r="F54" s="25"/>
      <c r="G54" s="25" t="str">
        <f>IF(F54&gt;17,"AD",IF(F54&gt;13,"A",IF(F54&gt;10,"B",IF(F54&lt;=10,"C"))))</f>
        <v>C</v>
      </c>
      <c r="H54" s="25"/>
      <c r="I54" s="25" t="str">
        <f>IF(H54&gt;17,"AD",IF(H54&gt;13,"A",IF(H54&gt;10,"B",IF(H54&lt;=10,"C"))))</f>
        <v>C</v>
      </c>
      <c r="J54" s="25"/>
      <c r="K54" s="25" t="str">
        <f>IF(J54&gt;17,"AD",IF(J54&gt;13,"A",IF(J54&gt;10,"B",IF(J54&lt;=10,"C"))))</f>
        <v>C</v>
      </c>
      <c r="L54" s="25"/>
      <c r="M54" s="25" t="str">
        <f>IF(L54&gt;17,"AD",IF(L54&gt;13,"A",IF(L54&gt;10,"B",IF(L54&lt;=10,"C"))))</f>
        <v>C</v>
      </c>
      <c r="N54" s="59"/>
      <c r="O54" s="2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 customHeight="1">
      <c r="A55" s="1"/>
      <c r="B55" s="39"/>
      <c r="C55" s="56"/>
      <c r="D55" s="31" t="s">
        <v>66</v>
      </c>
      <c r="E55" s="15"/>
      <c r="F55" s="48" t="s">
        <v>43</v>
      </c>
      <c r="G55" s="49"/>
      <c r="H55" s="48" t="s">
        <v>44</v>
      </c>
      <c r="I55" s="49"/>
      <c r="J55" s="48" t="s">
        <v>45</v>
      </c>
      <c r="K55" s="49"/>
      <c r="L55" s="48" t="s">
        <v>46</v>
      </c>
      <c r="M55" s="50"/>
      <c r="N55" s="59"/>
      <c r="O55" s="2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1"/>
      <c r="B56" s="39"/>
      <c r="C56" s="56"/>
      <c r="D56" s="24" t="s">
        <v>67</v>
      </c>
      <c r="E56" s="2"/>
      <c r="F56" s="44"/>
      <c r="G56" s="44" t="str">
        <f>IF(F56&gt;40,"AD",IF(F56&gt;30,"A",IF(F56&gt;20,"B","C")))</f>
        <v>C</v>
      </c>
      <c r="H56" s="44"/>
      <c r="I56" s="44" t="str">
        <f>IF(H56&gt;40,"AD",IF(H56&gt;30,"A",IF(H56&gt;20,"B","C")))</f>
        <v>C</v>
      </c>
      <c r="J56" s="44"/>
      <c r="K56" s="44" t="str">
        <f>IF(J56&gt;40,"AD",IF(J56&gt;30,"A",IF(J56&gt;20,"B","C")))</f>
        <v>C</v>
      </c>
      <c r="L56" s="44"/>
      <c r="M56" s="44" t="str">
        <f>IF(L56&gt;40,"AD",IF(L56&gt;30,"A",IF(L56&gt;20,"B","C")))</f>
        <v>C</v>
      </c>
      <c r="N56" s="59"/>
      <c r="O56" s="2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>
      <c r="A57" s="1"/>
      <c r="B57" s="39"/>
      <c r="C57" s="56"/>
      <c r="D57" s="24" t="s">
        <v>68</v>
      </c>
      <c r="E57" s="2"/>
      <c r="F57" s="44"/>
      <c r="G57" s="44" t="str">
        <f>IF(F57&lt;=0,"AD",IF(F57&lt;5,"A",IF(F57&lt;10,"B","C")))</f>
        <v>AD</v>
      </c>
      <c r="H57" s="44"/>
      <c r="I57" s="44" t="str">
        <f>IF(H57&lt;=0,"AD",IF(H57&lt;5,"A",IF(H57&lt;10,"B","C")))</f>
        <v>AD</v>
      </c>
      <c r="J57" s="44"/>
      <c r="K57" s="44" t="str">
        <f>IF(J57&lt;=0,"AD",IF(J57&lt;5,"A",IF(J57&lt;10,"B","C")))</f>
        <v>AD</v>
      </c>
      <c r="L57" s="44"/>
      <c r="M57" s="44" t="str">
        <f>IF(L57&lt;=0,"AD",IF(L57&lt;5,"A",IF(L57&lt;10,"B","C")))</f>
        <v>AD</v>
      </c>
      <c r="N57" s="59"/>
      <c r="O57" s="2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39"/>
      <c r="C58" s="56"/>
      <c r="D58" s="24" t="s">
        <v>69</v>
      </c>
      <c r="E58" s="2"/>
      <c r="F58" s="44"/>
      <c r="G58" s="44" t="str">
        <f t="shared" ref="G58:G59" si="25">IF(F58&lt;=0,"AD",IF(F58&lt;=3,"A",IF(F58&lt;=5,"B",IF(F58&gt;5,"C"))))</f>
        <v>AD</v>
      </c>
      <c r="H58" s="44"/>
      <c r="I58" s="44" t="str">
        <f t="shared" ref="I58:I59" si="26">IF(H58&lt;=0,"AD",IF(H58&lt;=3,"A",IF(H58&lt;=5,"B",IF(H58&gt;5,"C"))))</f>
        <v>AD</v>
      </c>
      <c r="J58" s="44"/>
      <c r="K58" s="44" t="str">
        <f t="shared" ref="K58:K59" si="27">IF(J58&lt;=0,"AD",IF(J58&lt;=3,"A",IF(J58&lt;=5,"B",IF(J58&gt;5,"C"))))</f>
        <v>AD</v>
      </c>
      <c r="L58" s="44"/>
      <c r="M58" s="44" t="str">
        <f t="shared" ref="M58:M59" si="28">IF(L58&lt;=0,"AD",IF(L58&lt;=3,"A",IF(L58&lt;=5,"B",IF(L58&gt;5,"C"))))</f>
        <v>AD</v>
      </c>
      <c r="N58" s="59"/>
      <c r="O58" s="2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1"/>
      <c r="B59" s="39"/>
      <c r="C59" s="57"/>
      <c r="D59" s="24" t="s">
        <v>70</v>
      </c>
      <c r="E59" s="2"/>
      <c r="F59" s="44"/>
      <c r="G59" s="44" t="str">
        <f t="shared" si="25"/>
        <v>AD</v>
      </c>
      <c r="H59" s="44"/>
      <c r="I59" s="44" t="str">
        <f t="shared" si="26"/>
        <v>AD</v>
      </c>
      <c r="J59" s="44"/>
      <c r="K59" s="44" t="str">
        <f t="shared" si="27"/>
        <v>AD</v>
      </c>
      <c r="L59" s="44"/>
      <c r="M59" s="44" t="str">
        <f t="shared" si="28"/>
        <v>AD</v>
      </c>
      <c r="N59" s="60"/>
      <c r="O59" s="2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1"/>
      <c r="B60" s="3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6"/>
      <c r="O60" s="2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.25" customHeight="1">
      <c r="A61" s="1"/>
      <c r="B61" s="39"/>
      <c r="C61" s="51" t="s">
        <v>71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3"/>
      <c r="O61" s="13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6" customHeight="1">
      <c r="A62" s="1"/>
      <c r="B62" s="3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6"/>
      <c r="O62" s="2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1"/>
      <c r="B63" s="39"/>
      <c r="C63" s="37" t="s">
        <v>43</v>
      </c>
      <c r="D63" s="45"/>
      <c r="E63" s="46"/>
      <c r="F63" s="46"/>
      <c r="G63" s="46"/>
      <c r="H63" s="46"/>
      <c r="I63" s="46"/>
      <c r="J63" s="46"/>
      <c r="K63" s="46"/>
      <c r="L63" s="46"/>
      <c r="M63" s="46"/>
      <c r="N63" s="47"/>
      <c r="O63" s="2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4.5" customHeight="1">
      <c r="A64" s="1"/>
      <c r="B64" s="39"/>
      <c r="C64" s="2"/>
      <c r="D64" s="8"/>
      <c r="E64" s="8"/>
      <c r="F64" s="8"/>
      <c r="G64" s="8"/>
      <c r="H64" s="8"/>
      <c r="I64" s="8"/>
      <c r="J64" s="8"/>
      <c r="K64" s="8"/>
      <c r="L64" s="8"/>
      <c r="M64" s="8"/>
      <c r="N64" s="6"/>
      <c r="O64" s="2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1"/>
      <c r="B65" s="39"/>
      <c r="C65" s="37" t="s">
        <v>44</v>
      </c>
      <c r="D65" s="45"/>
      <c r="E65" s="46"/>
      <c r="F65" s="46"/>
      <c r="G65" s="46"/>
      <c r="H65" s="46"/>
      <c r="I65" s="46"/>
      <c r="J65" s="46"/>
      <c r="K65" s="46"/>
      <c r="L65" s="46"/>
      <c r="M65" s="46"/>
      <c r="N65" s="47"/>
      <c r="O65" s="2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4.5" customHeight="1">
      <c r="A66" s="1"/>
      <c r="B66" s="39"/>
      <c r="C66" s="2"/>
      <c r="D66" s="8"/>
      <c r="E66" s="8"/>
      <c r="F66" s="8"/>
      <c r="G66" s="8"/>
      <c r="H66" s="8"/>
      <c r="I66" s="8"/>
      <c r="J66" s="8"/>
      <c r="K66" s="8"/>
      <c r="L66" s="8"/>
      <c r="M66" s="8"/>
      <c r="N66" s="6"/>
      <c r="O66" s="2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1"/>
      <c r="B67" s="39"/>
      <c r="C67" s="37" t="s">
        <v>45</v>
      </c>
      <c r="D67" s="45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2"/>
      <c r="P67" s="1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4.5" customHeight="1">
      <c r="A68" s="1"/>
      <c r="B68" s="39"/>
      <c r="C68" s="2"/>
      <c r="D68" s="8"/>
      <c r="E68" s="8"/>
      <c r="F68" s="8"/>
      <c r="G68" s="8"/>
      <c r="H68" s="8"/>
      <c r="I68" s="8"/>
      <c r="J68" s="8"/>
      <c r="K68" s="8"/>
      <c r="L68" s="8"/>
      <c r="M68" s="8"/>
      <c r="N68" s="6"/>
      <c r="O68" s="2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1"/>
      <c r="B69" s="39"/>
      <c r="C69" s="37" t="s">
        <v>46</v>
      </c>
      <c r="D69" s="45"/>
      <c r="E69" s="46"/>
      <c r="F69" s="46"/>
      <c r="G69" s="46"/>
      <c r="H69" s="46"/>
      <c r="I69" s="46"/>
      <c r="J69" s="46"/>
      <c r="K69" s="46"/>
      <c r="L69" s="46"/>
      <c r="M69" s="46"/>
      <c r="N69" s="47"/>
      <c r="O69" s="2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09.5" customHeight="1">
      <c r="A70" s="1"/>
      <c r="B70" s="3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6"/>
      <c r="O70" s="2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39"/>
      <c r="C71" s="2"/>
      <c r="D71" s="66" t="s">
        <v>72</v>
      </c>
      <c r="E71" s="66"/>
      <c r="F71" s="66"/>
      <c r="G71" s="66"/>
      <c r="H71" s="66"/>
      <c r="I71" s="66"/>
      <c r="J71" s="66"/>
      <c r="K71" s="66"/>
      <c r="L71" s="66"/>
      <c r="M71" s="66"/>
      <c r="N71" s="7"/>
      <c r="O71" s="2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39"/>
      <c r="C72" s="2"/>
      <c r="D72" s="67" t="s">
        <v>73</v>
      </c>
      <c r="E72" s="67"/>
      <c r="F72" s="67"/>
      <c r="G72" s="67"/>
      <c r="H72" s="67"/>
      <c r="I72" s="67"/>
      <c r="J72" s="67"/>
      <c r="K72" s="67"/>
      <c r="L72" s="67"/>
      <c r="M72" s="67"/>
      <c r="N72" s="7"/>
      <c r="O72" s="2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3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6"/>
      <c r="O73" s="2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4.5" customHeight="1">
      <c r="A74" s="1"/>
      <c r="B74" s="3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6"/>
      <c r="O74" s="2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96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41"/>
      <c r="O76" s="39"/>
      <c r="P76" s="39"/>
      <c r="Q76" s="39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41"/>
      <c r="O77" s="39"/>
      <c r="P77" s="39"/>
      <c r="Q77" s="39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41"/>
      <c r="O78" s="39"/>
      <c r="P78" s="39"/>
      <c r="Q78" s="39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41"/>
      <c r="O79" s="39"/>
      <c r="P79" s="39"/>
      <c r="Q79" s="39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41"/>
      <c r="O80" s="39"/>
      <c r="P80" s="39"/>
      <c r="Q80" s="39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41"/>
      <c r="O81" s="39"/>
      <c r="P81" s="39"/>
      <c r="Q81" s="39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41"/>
      <c r="O82" s="39"/>
      <c r="P82" s="39"/>
      <c r="Q82" s="39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1"/>
      <c r="O83" s="39"/>
      <c r="P83" s="39"/>
      <c r="Q83" s="39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40"/>
      <c r="B84" s="39"/>
      <c r="C84" s="39"/>
      <c r="D84" s="2"/>
      <c r="E84" s="2"/>
      <c r="F84" s="2"/>
      <c r="G84" s="2"/>
      <c r="H84" s="2"/>
      <c r="I84" s="2"/>
      <c r="J84" s="2"/>
      <c r="K84" s="2"/>
      <c r="L84" s="2"/>
      <c r="M84" s="2"/>
      <c r="N84" s="3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40"/>
      <c r="B85" s="39"/>
      <c r="C85" s="39"/>
      <c r="D85" s="2"/>
      <c r="E85" s="2"/>
      <c r="F85" s="2"/>
      <c r="G85" s="2"/>
      <c r="H85" s="2"/>
      <c r="I85" s="2"/>
      <c r="J85" s="2"/>
      <c r="K85" s="2"/>
      <c r="L85" s="2"/>
      <c r="M85" s="2"/>
      <c r="N85" s="3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40"/>
      <c r="B86" s="39"/>
      <c r="C86" s="39"/>
      <c r="D86" s="2"/>
      <c r="E86" s="2"/>
      <c r="F86" s="2"/>
      <c r="G86" s="2"/>
      <c r="H86" s="2"/>
      <c r="I86" s="2"/>
      <c r="J86" s="2"/>
      <c r="K86" s="2"/>
      <c r="L86" s="2"/>
      <c r="M86" s="2"/>
      <c r="N86" s="3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2:26" ht="15.7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2:26" ht="15.7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2:26" ht="15.7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2:26" ht="15.7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2:26" ht="15.7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2:26" ht="15.7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2:26" ht="15.7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2:26" ht="15.7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2:26" ht="15.7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6" ht="15.7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2:26" ht="15.7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2:26" ht="15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2:26" ht="15.7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2:26" ht="15.7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2:26" ht="15.7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2:26" ht="15.7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2:26" ht="15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2:26" ht="15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2:26" ht="15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2:26" ht="15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2:26" ht="15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2:26" ht="15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2:26" ht="15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2:26" ht="15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2:26" ht="15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2:26" ht="15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2:26" ht="15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2:26" ht="15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2:26" ht="15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2:26" ht="15.7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2:26" ht="15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2:26" ht="15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2:26" ht="15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2:26" ht="15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2:26" ht="15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2:26" ht="15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6" ht="15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2:26" ht="15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2:26" ht="15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2:26" ht="15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2:26" ht="15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2:26" ht="15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2:26" ht="15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2:26" ht="15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2:26" ht="15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2:26" ht="15.7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2:26" ht="15.7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2:26" ht="15.7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2:26" ht="15.7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2:26" ht="15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2:26" ht="15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2:26" ht="15.7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2:26" ht="15.7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2:26" ht="15.7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2:26" ht="15.7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2:26" ht="15.7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2:26" ht="15.7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2:26" ht="15.7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2:26" ht="15.7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2:26" ht="15.7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2:26" ht="15.7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2:26" ht="15.7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2:26" ht="15.7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2:26" ht="15.7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2:26" ht="15.7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2:26" ht="15.7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2:26" ht="15.7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2:26" ht="15.7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2:26" ht="15.7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2:26" ht="15.7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2:26" ht="15.7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2:26" ht="15.7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2:26" ht="15.7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2:26" ht="15.7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2:26" ht="15.7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2:26" ht="15.7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2:26" ht="15.7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2:26" ht="15.7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2:26" ht="15.7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2:26" ht="15.7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2:26" ht="15.7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2:26" ht="15.7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2:26" ht="15.7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2:26" ht="15.7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2:26" ht="15.7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2:26" ht="15.7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2:26" ht="15.7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2:26" ht="15.7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2:26" ht="15.7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2:26" ht="15.7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2:26" ht="15.7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2:26" ht="15.7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2:26" ht="15.7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2:26" ht="15.7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2:26" ht="15.7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2:26" ht="15.7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2:26" ht="15.7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2:26" ht="15.7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2:26" ht="15.7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2:26" ht="15.7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2:26" ht="15.7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2:26" ht="15.7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2:26" ht="15.7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2:26" ht="15.7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2:26" ht="15.7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2:26" ht="15.7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2:26" ht="15.7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2:26" ht="15.7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2:26" ht="15.7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2:26" ht="15.7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2:26" ht="15.7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2:26" ht="15.7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2:26" ht="15.7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2:26" ht="15.7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2:26" ht="15.7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2:26" ht="15.7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2:26" ht="15.7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2:26" ht="15.7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2:26" ht="15.7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2:26" ht="15.7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2:26" ht="15.7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2:26" ht="15.7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2:26" ht="15.7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2:26" ht="15.7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2:26" ht="15.7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2:26" ht="15.7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2:26" ht="15.7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2:26" ht="15.7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2:26" ht="15.7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2:26" ht="15.7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2:26" ht="15.7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2:26" ht="15.7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2:26" ht="15.7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2:26" ht="15.7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2:26" ht="15.7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2:26" ht="15.7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2:26" ht="15.7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2:26" ht="15.7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2:26" ht="15.7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2:26" ht="15.7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2:26" ht="15.7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2:26" ht="15.7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2:26" ht="15.7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2:26" ht="15.7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2:26" ht="15.7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2:26" ht="15.7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2:26" ht="15.7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 ht="15.7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2:26" ht="15.7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2:26" ht="15.7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2:26" ht="15.7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2:26" ht="15.7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2:26" ht="15.7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2:26" ht="15.7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2:26" ht="15.7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2:26" ht="15.7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2:26" ht="15.7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2:26" ht="15.7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2:26" ht="15.7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2:26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2:26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2:26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2:26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2:26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2:26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2:26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2:26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2:26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2:26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2:26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2:26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2:26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2:26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2:26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2:26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2:26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2:26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2:26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2:26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2:26" ht="15.75" customHeight="1"/>
    <row r="277" spans="2:26" ht="15.75" customHeight="1"/>
    <row r="278" spans="2:26" ht="15.75" customHeight="1"/>
    <row r="279" spans="2:26" ht="15.75" customHeight="1"/>
    <row r="280" spans="2:26" ht="15.75" customHeight="1"/>
    <row r="281" spans="2:26" ht="15.75" customHeight="1"/>
    <row r="282" spans="2:26" ht="15.75" customHeight="1"/>
    <row r="283" spans="2:26" ht="15.75" customHeight="1"/>
    <row r="284" spans="2:26" ht="15.75" customHeight="1"/>
    <row r="285" spans="2:26" ht="15.75" customHeight="1"/>
    <row r="286" spans="2:26" ht="15.75" customHeight="1"/>
    <row r="287" spans="2:26" ht="15.75" customHeight="1"/>
    <row r="288" spans="2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56">
    <mergeCell ref="D2:N3"/>
    <mergeCell ref="D71:M71"/>
    <mergeCell ref="D72:M72"/>
    <mergeCell ref="M6:N6"/>
    <mergeCell ref="C4:F4"/>
    <mergeCell ref="G4:J4"/>
    <mergeCell ref="F6:H6"/>
    <mergeCell ref="J6:K6"/>
    <mergeCell ref="F8:G8"/>
    <mergeCell ref="H8:I8"/>
    <mergeCell ref="J8:K8"/>
    <mergeCell ref="L8:M8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L38:M38"/>
    <mergeCell ref="F44:G44"/>
    <mergeCell ref="L53:M53"/>
    <mergeCell ref="F49:G49"/>
    <mergeCell ref="H49:I49"/>
    <mergeCell ref="J49:K49"/>
    <mergeCell ref="L49:M49"/>
    <mergeCell ref="C30:N30"/>
    <mergeCell ref="C32:C59"/>
    <mergeCell ref="F32:G32"/>
    <mergeCell ref="H32:I32"/>
    <mergeCell ref="J32:K32"/>
    <mergeCell ref="H44:I44"/>
    <mergeCell ref="J44:K44"/>
    <mergeCell ref="L44:M44"/>
    <mergeCell ref="F53:G53"/>
    <mergeCell ref="H53:I53"/>
    <mergeCell ref="J53:K53"/>
    <mergeCell ref="L32:M32"/>
    <mergeCell ref="N32:N59"/>
    <mergeCell ref="F38:G38"/>
    <mergeCell ref="H38:I38"/>
    <mergeCell ref="J38:K38"/>
    <mergeCell ref="D69:N69"/>
    <mergeCell ref="F55:G55"/>
    <mergeCell ref="H55:I55"/>
    <mergeCell ref="J55:K55"/>
    <mergeCell ref="L55:M55"/>
    <mergeCell ref="C61:N61"/>
    <mergeCell ref="D63:N63"/>
    <mergeCell ref="D65:N65"/>
    <mergeCell ref="D67:N67"/>
  </mergeCells>
  <conditionalFormatting sqref="L28">
    <cfRule type="cellIs" dxfId="21" priority="20" operator="lessThan">
      <formula>11</formula>
    </cfRule>
  </conditionalFormatting>
  <conditionalFormatting sqref="J28">
    <cfRule type="cellIs" dxfId="20" priority="21" operator="lessThan">
      <formula>11</formula>
    </cfRule>
  </conditionalFormatting>
  <conditionalFormatting sqref="H28">
    <cfRule type="cellIs" dxfId="19" priority="22" operator="lessThan">
      <formula>11</formula>
    </cfRule>
  </conditionalFormatting>
  <conditionalFormatting sqref="F21:N22 F24:N24">
    <cfRule type="cellIs" dxfId="18" priority="23" operator="lessThan">
      <formula>11</formula>
    </cfRule>
  </conditionalFormatting>
  <conditionalFormatting sqref="F50:M51">
    <cfRule type="cellIs" dxfId="17" priority="24" operator="lessThan">
      <formula>11</formula>
    </cfRule>
  </conditionalFormatting>
  <conditionalFormatting sqref="F45:M45 F47:M48">
    <cfRule type="cellIs" dxfId="16" priority="25" operator="lessThan">
      <formula>11</formula>
    </cfRule>
  </conditionalFormatting>
  <conditionalFormatting sqref="F33:M36">
    <cfRule type="cellIs" dxfId="15" priority="26" operator="lessThan">
      <formula>11</formula>
    </cfRule>
  </conditionalFormatting>
  <conditionalFormatting sqref="F11:N19">
    <cfRule type="cellIs" dxfId="14" priority="28" operator="lessThan">
      <formula>11</formula>
    </cfRule>
  </conditionalFormatting>
  <conditionalFormatting sqref="F39:M43">
    <cfRule type="cellIs" dxfId="13" priority="29" operator="lessThan">
      <formula>11</formula>
    </cfRule>
  </conditionalFormatting>
  <conditionalFormatting sqref="F28">
    <cfRule type="cellIs" dxfId="12" priority="30" operator="lessThan">
      <formula>11</formula>
    </cfRule>
  </conditionalFormatting>
  <conditionalFormatting sqref="N28">
    <cfRule type="cellIs" dxfId="11" priority="31" operator="lessThan">
      <formula>11</formula>
    </cfRule>
  </conditionalFormatting>
  <conditionalFormatting sqref="F23:N23">
    <cfRule type="cellIs" dxfId="10" priority="19" operator="lessThan">
      <formula>11</formula>
    </cfRule>
  </conditionalFormatting>
  <conditionalFormatting sqref="F46:M46">
    <cfRule type="cellIs" dxfId="9" priority="18" operator="lessThan">
      <formula>11</formula>
    </cfRule>
  </conditionalFormatting>
  <conditionalFormatting sqref="F56:F59 H56:H59 J56:J59 L56:L59">
    <cfRule type="cellIs" dxfId="8" priority="1" operator="lessThan">
      <formula>11</formula>
    </cfRule>
  </conditionalFormatting>
  <conditionalFormatting sqref="G59">
    <cfRule type="cellIs" dxfId="7" priority="2" operator="lessThan">
      <formula>11</formula>
    </cfRule>
  </conditionalFormatting>
  <conditionalFormatting sqref="G56:G58">
    <cfRule type="cellIs" dxfId="6" priority="3" operator="lessThan">
      <formula>11</formula>
    </cfRule>
  </conditionalFormatting>
  <conditionalFormatting sqref="I59">
    <cfRule type="cellIs" dxfId="5" priority="4" operator="lessThan">
      <formula>11</formula>
    </cfRule>
  </conditionalFormatting>
  <conditionalFormatting sqref="I56:I58">
    <cfRule type="cellIs" dxfId="4" priority="5" operator="lessThan">
      <formula>11</formula>
    </cfRule>
  </conditionalFormatting>
  <conditionalFormatting sqref="K59">
    <cfRule type="cellIs" dxfId="3" priority="6" operator="lessThan">
      <formula>11</formula>
    </cfRule>
  </conditionalFormatting>
  <conditionalFormatting sqref="K56:K58">
    <cfRule type="cellIs" dxfId="2" priority="7" operator="lessThan">
      <formula>11</formula>
    </cfRule>
  </conditionalFormatting>
  <conditionalFormatting sqref="M59">
    <cfRule type="cellIs" dxfId="1" priority="8" operator="lessThan">
      <formula>11</formula>
    </cfRule>
  </conditionalFormatting>
  <conditionalFormatting sqref="M56:M58">
    <cfRule type="cellIs" dxfId="0" priority="9" operator="lessThan">
      <formula>11</formula>
    </cfRule>
  </conditionalFormatting>
  <printOptions horizontalCentered="1"/>
  <pageMargins left="0" right="0" top="0" bottom="0" header="0" footer="0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Libreta de 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2026-06-16T16:29:11Z</cp:lastPrinted>
  <dcterms:created xsi:type="dcterms:W3CDTF">2026-06-16T00:06:12Z</dcterms:created>
  <dcterms:modified xsi:type="dcterms:W3CDTF">2026-08-31T23:55:46Z</dcterms:modified>
</cp:coreProperties>
</file>